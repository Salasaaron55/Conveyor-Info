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alron\Desktop\Conveyance-Project\Downloads\"/>
    </mc:Choice>
  </mc:AlternateContent>
  <xr:revisionPtr revIDLastSave="0" documentId="13_ncr:1_{D3D73104-AA31-4006-A249-87283AAB043B}" xr6:coauthVersionLast="47" xr6:coauthVersionMax="47" xr10:uidLastSave="{00000000-0000-0000-0000-000000000000}"/>
  <bookViews>
    <workbookView xWindow="-30" yWindow="180" windowWidth="28935" windowHeight="8625" tabRatio="271" xr2:uid="{AF94699B-536A-45C8-8F2E-46CD33CFC70C}"/>
  </bookViews>
  <sheets>
    <sheet name="Conveyor_Information" sheetId="3" r:id="rId1"/>
    <sheet name="Conveyor_Map" sheetId="2" r:id="rId2"/>
  </sheets>
  <definedNames>
    <definedName name="_xleta.T" hidden="1" xlm="1">#NAME?</definedName>
    <definedName name="ExternalData_1" localSheetId="0" hidden="1">Conveyor_Information!$A$1:$F$464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 a="1"/>
  <c r="C8" i="2" s="1"/>
  <c r="C15" i="2" a="1"/>
  <c r="C15" i="2" s="1"/>
  <c r="C23" i="2" a="1"/>
  <c r="C23" i="2" s="1"/>
  <c r="C22" i="2" a="1"/>
  <c r="C22" i="2" s="1"/>
  <c r="C21" i="2" a="1"/>
  <c r="C21" i="2" s="1"/>
  <c r="C20" i="2" a="1"/>
  <c r="C20" i="2" s="1"/>
  <c r="C18" i="2" a="1"/>
  <c r="C18" i="2" s="1"/>
  <c r="C17" i="2" a="1"/>
  <c r="C17" i="2" s="1"/>
  <c r="C16" i="2" a="1"/>
  <c r="C16" i="2" s="1"/>
  <c r="C12" i="2" a="1"/>
  <c r="C12" i="2" s="1"/>
  <c r="C11" i="2" a="1"/>
  <c r="C11" i="2" s="1"/>
  <c r="C10" i="2" a="1"/>
  <c r="C10" i="2" s="1"/>
  <c r="C19" i="2" s="1" a="1"/>
  <c r="C19" i="2" s="1"/>
  <c r="C9" i="2" a="1"/>
  <c r="C9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F6B3DD-155A-41DE-9B8C-0228539B71BD}" keepAlive="1" name="Query - tblConveyors" description="Connection to the 'tblConveyors' query in the workbook." type="5" refreshedVersion="8" background="1" saveData="1">
    <dbPr connection="Provider=Microsoft.Mashup.OleDb.1;Data Source=$Workbook$;Location=tblConveyors;Extended Properties=&quot;&quot;" command="SELECT * FROM [tblConveyors]"/>
  </connection>
  <connection id="2" xr16:uid="{A917056A-3B62-4267-8EB9-FAD6CB6908AB}" keepAlive="1" name="Query - tblConveyors (2)" description="Connection to the 'tblConveyors (2)' query in the workbook." type="5" refreshedVersion="8" background="1" saveData="1">
    <dbPr connection="Provider=Microsoft.Mashup.OleDb.1;Data Source=$Workbook$;Location=&quot;tblConveyors (2)&quot;;Extended Properties=&quot;&quot;" command="SELECT * FROM [tblConveyor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<sst xmlns="http://schemas.openxmlformats.org/spreadsheetml/2006/main" count="7591" uniqueCount="2657">
  <si>
    <t>section_alias</t>
  </si>
  <si>
    <t>conveyance_group</t>
  </si>
  <si>
    <t>control_panel</t>
  </si>
  <si>
    <t>cp_location</t>
  </si>
  <si>
    <t>incident_energy</t>
  </si>
  <si>
    <t>mcp</t>
  </si>
  <si>
    <t>Position</t>
  </si>
  <si>
    <t>Description</t>
  </si>
  <si>
    <t>Amazon Alias</t>
  </si>
  <si>
    <t>Amazon Alias Description</t>
  </si>
  <si>
    <t>Equipment Configuration</t>
  </si>
  <si>
    <t>Manufacturer</t>
  </si>
  <si>
    <t>Model</t>
  </si>
  <si>
    <t>Class</t>
  </si>
  <si>
    <t>Category</t>
  </si>
  <si>
    <t>NA EAM Object Code</t>
  </si>
  <si>
    <t>Serial Number</t>
  </si>
  <si>
    <t>200</t>
  </si>
  <si>
    <t>Receiving</t>
  </si>
  <si>
    <t>E-5056</t>
  </si>
  <si>
    <t>0.15 cal/cm²</t>
  </si>
  <si>
    <t>MCP-01</t>
  </si>
  <si>
    <t>RCV.CORR.01.IF01.000200</t>
  </si>
  <si>
    <t>RECEIVE SYSTEM, CORRAL, CORRAL 01, INFEED LINE 1, 000200; CP200 E-5056: MCP01</t>
  </si>
  <si>
    <t>000200</t>
  </si>
  <si>
    <t>WYN.CLR</t>
  </si>
  <si>
    <t>WYNRIGHT</t>
  </si>
  <si>
    <t>CLR</t>
  </si>
  <si>
    <t>CONV</t>
  </si>
  <si>
    <t>CONV.RA</t>
  </si>
  <si>
    <t>30SAT4000200</t>
  </si>
  <si>
    <t>204.01</t>
  </si>
  <si>
    <t>E-5055</t>
  </si>
  <si>
    <t>204.17</t>
  </si>
  <si>
    <t>MRG.RCV01.TA01.000204.01</t>
  </si>
  <si>
    <t>MERGE, RECEIVE 01 , TAKEAWAY 01 , 000204.01; CP204.17 E-5055: MCP01</t>
  </si>
  <si>
    <t>000204.01</t>
  </si>
  <si>
    <t>WYN.C759</t>
  </si>
  <si>
    <t>C759</t>
  </si>
  <si>
    <t>CONV.BT</t>
  </si>
  <si>
    <t>30SAT4000204.01</t>
  </si>
  <si>
    <t>204.02</t>
  </si>
  <si>
    <t>MRG.RCV01.TA01.000204.02</t>
  </si>
  <si>
    <t>MERGE, RECEIVE 01 , TAKEAWAY 01 , 000204.02; CP204.17 E-5055: MCP01</t>
  </si>
  <si>
    <t>000204.02</t>
  </si>
  <si>
    <t>WYN.C756</t>
  </si>
  <si>
    <t>C756</t>
  </si>
  <si>
    <t>30SAT4000204.02</t>
  </si>
  <si>
    <t>204.03</t>
  </si>
  <si>
    <t>MRG.RCV01.TA01.000204.03</t>
  </si>
  <si>
    <t>MERGE, RECEIVE 01 , TAKEAWAY 01 , 000204.03; CP204.17 E-5055: MCP01</t>
  </si>
  <si>
    <t>000204.03</t>
  </si>
  <si>
    <t>WAUTOR</t>
  </si>
  <si>
    <t>AUTOROLL+</t>
  </si>
  <si>
    <t>30SAT4000204.03</t>
  </si>
  <si>
    <t>204.04</t>
  </si>
  <si>
    <t>MRG.RCV01.IF01.000204.04</t>
  </si>
  <si>
    <t>MERGE, RECEIVE 01 , INFEED 01 , 000204.04; CP204.17 E-5055: MCP01</t>
  </si>
  <si>
    <t>000204.04</t>
  </si>
  <si>
    <t>WYN.C770</t>
  </si>
  <si>
    <t>C770</t>
  </si>
  <si>
    <t>30SAT4000204.04</t>
  </si>
  <si>
    <t>204.05</t>
  </si>
  <si>
    <t>MRG.RCV01.IF02.000204.05</t>
  </si>
  <si>
    <t>MERGE, RECEIVE 01 , INFEED 02 , 000204.05; CP204.17 E-5055: MCP01</t>
  </si>
  <si>
    <t>000204.05</t>
  </si>
  <si>
    <t>30SAT4000204.05</t>
  </si>
  <si>
    <t>204.06</t>
  </si>
  <si>
    <t>MRG.RCV01.LN.000204.06</t>
  </si>
  <si>
    <t>MERGE, RECEIVE 01 , LANE , 000204.06; CP204.17 E-5055: MCP01</t>
  </si>
  <si>
    <t>000204.06</t>
  </si>
  <si>
    <t>WYN.C752</t>
  </si>
  <si>
    <t>C752</t>
  </si>
  <si>
    <t>30SAT4000204.06</t>
  </si>
  <si>
    <t>204.07</t>
  </si>
  <si>
    <t>MRG.RCV01.LN.000204.07</t>
  </si>
  <si>
    <t>MERGE, RECEIVE 01 , LANE , 000204.07; CP204.17 E-5055: MCP01</t>
  </si>
  <si>
    <t>000204.07</t>
  </si>
  <si>
    <t>30SAT4000204.07</t>
  </si>
  <si>
    <t>204.08</t>
  </si>
  <si>
    <t>MRG.RCV01.IF03.000204.08</t>
  </si>
  <si>
    <t>MERGE, RECEIVE 01 , INFEED 03, 000204.08; CP204.17 E-5055: MCP01</t>
  </si>
  <si>
    <t>000204.08</t>
  </si>
  <si>
    <t>WYN.C763</t>
  </si>
  <si>
    <t>C763</t>
  </si>
  <si>
    <t>30SAT4000204.08</t>
  </si>
  <si>
    <t>204.09</t>
  </si>
  <si>
    <t>RCV.CORR.01.LN03.000204.09</t>
  </si>
  <si>
    <t>RECEIVE SYSTEM, CORRAL, CORRAL 01, LANE 3, 000204.09; CP204.17 E-5055: MCP01</t>
  </si>
  <si>
    <t>000204.09</t>
  </si>
  <si>
    <t>30SAT4000204.09</t>
  </si>
  <si>
    <t>204.10</t>
  </si>
  <si>
    <t>RCV.CORR.01.LN03.000204.10</t>
  </si>
  <si>
    <t>RECEIVE SYSTEM, CORRAL, CORRAL 01, LANE 3, 000204.10; CP204.17 E-5055: MCP01</t>
  </si>
  <si>
    <t>000204.10</t>
  </si>
  <si>
    <t>30SAT4000204.10</t>
  </si>
  <si>
    <t>204.11</t>
  </si>
  <si>
    <t>RCV.CORR.01.LN03.000204.11</t>
  </si>
  <si>
    <t>RECEIVE SYSTEM, CORRAL, CORRAL 01, LANE 3, 000204.11; CP204.17 E-5055: MCP01</t>
  </si>
  <si>
    <t>000204.11</t>
  </si>
  <si>
    <t>30SAT4000204.11</t>
  </si>
  <si>
    <t>204.12</t>
  </si>
  <si>
    <t>RCV.CORR.01.IF03.000204.12</t>
  </si>
  <si>
    <t>RECEIVE SYSTEM, CORRAL, CORRAL 01, INFEED LINE3, 000204.12; CP204.17 E5055:MCP01</t>
  </si>
  <si>
    <t>000204.12</t>
  </si>
  <si>
    <t>30SAT4000204.12</t>
  </si>
  <si>
    <t>204.13</t>
  </si>
  <si>
    <t>RCV.CORR.01.LN02.000204.13</t>
  </si>
  <si>
    <t>RECEIVE SYSTEM, CORRAL, CORRAL 01, LANE 2, 000204.13; CP204.17 E-5055: MCP01</t>
  </si>
  <si>
    <t>000204.13</t>
  </si>
  <si>
    <t>30SAT4000204.13</t>
  </si>
  <si>
    <t>204.14</t>
  </si>
  <si>
    <t>RCV.CORR.01.LN02.000204.14</t>
  </si>
  <si>
    <t>RECEIVE SYSTEM, CORRAL, CORRAL 01, LANE 2, 000204.14; CP204.17 E-5055: MCP01</t>
  </si>
  <si>
    <t>000204.14</t>
  </si>
  <si>
    <t>30SAT4000204.14</t>
  </si>
  <si>
    <t>204.15</t>
  </si>
  <si>
    <t>RCV.CORR.01.LN02.000204.15</t>
  </si>
  <si>
    <t>RECEIVE SYSTEM, CORRAL, CORRAL 01, LANE 2, 000204.15; CP204.17 E-5055: MCP01</t>
  </si>
  <si>
    <t>000204.15</t>
  </si>
  <si>
    <t>30SAT4000204.15</t>
  </si>
  <si>
    <t>204.16</t>
  </si>
  <si>
    <t>RCV.CORR.01.IF02.000204.16</t>
  </si>
  <si>
    <t>RECEIVE SYSTEM, CORRAL, CORRAL 01, INFEED LINE2, 000204.16; CP204.17 E5055:MCP01</t>
  </si>
  <si>
    <t>000204.16</t>
  </si>
  <si>
    <t>30SAT4000204.16</t>
  </si>
  <si>
    <t>E-5054</t>
  </si>
  <si>
    <t>204.24</t>
  </si>
  <si>
    <t>RCV.CORR.01.LN01.000204.17</t>
  </si>
  <si>
    <t>RECEIVE SYSTEM, CORRAL, CORRAL 01, LANE LINE 1, 000204.17; CP204.24 E-5054:MCP01</t>
  </si>
  <si>
    <t>000204.17</t>
  </si>
  <si>
    <t>30SAT4000204.17</t>
  </si>
  <si>
    <t>204.18</t>
  </si>
  <si>
    <t>RCV.CORR.01.LN01.000204.18</t>
  </si>
  <si>
    <t>RECEIVE SYSTEM, CORRAL, CORRAL 01, LANE LINE 1, 000204.18; CP204.24 E-5054:MCP01</t>
  </si>
  <si>
    <t>000204.18</t>
  </si>
  <si>
    <t>30SAT4000204.18</t>
  </si>
  <si>
    <t>204.19</t>
  </si>
  <si>
    <t>RCV.CORR.01.LN01.000204.19</t>
  </si>
  <si>
    <t>RECEIVE SYSTEM, CORRAL, CORRAL 01, LANE LINE 1, 000204.19; CP204.24 E-5054:MCP01</t>
  </si>
  <si>
    <t>000204.19</t>
  </si>
  <si>
    <t>30SAT4000204.19</t>
  </si>
  <si>
    <t>204.20</t>
  </si>
  <si>
    <t>RCV.CORR.01.LN01.000204.20</t>
  </si>
  <si>
    <t>RECEIVE SYSTEM, CORRAL, CORRAL 01, LANE LINE 1, 000204.20; CP204.24 E-5054:MCP01</t>
  </si>
  <si>
    <t>000204.20</t>
  </si>
  <si>
    <t>30SAT4000204.20</t>
  </si>
  <si>
    <t>204.21</t>
  </si>
  <si>
    <t>RCV.CORR.01.LN01.000204.21</t>
  </si>
  <si>
    <t>RECEIVE SYSTEM, CORRAL, CORRAL 01, LANE LINE 1, 000204.21; CP204.24 E-5054:MCP01</t>
  </si>
  <si>
    <t>000204.21</t>
  </si>
  <si>
    <t>30SAT4000204.21</t>
  </si>
  <si>
    <t>204.22</t>
  </si>
  <si>
    <t>RCV.CORR.01.LN01.000204.22</t>
  </si>
  <si>
    <t>RECEIVE SYSTEM, CORRAL, CORRAL 01, LANE LINE 1, 000204.22; CP204.24 E-5054:MCP01</t>
  </si>
  <si>
    <t>000204.22</t>
  </si>
  <si>
    <t>WYN.C766</t>
  </si>
  <si>
    <t>C766</t>
  </si>
  <si>
    <t>30SAT4000204.22</t>
  </si>
  <si>
    <t>204.23</t>
  </si>
  <si>
    <t>RCV.CORR.01.LN01.000204.23</t>
  </si>
  <si>
    <t>RECEIVE SYSTEM, CORRAL, CORRAL 01, LANE LINE 1, 000204.23; CP204.24 E-5054:MCP01</t>
  </si>
  <si>
    <t>000204.23</t>
  </si>
  <si>
    <t>30SAT4000204.23</t>
  </si>
  <si>
    <t>RCV.CORR.01.LN01.000204.24</t>
  </si>
  <si>
    <t>RECEIVE SYSTEM, CORRAL, CORRAL 01, LANE LINE 1, 000204.24; CP204.24 E-5054:MCP01</t>
  </si>
  <si>
    <t>000204.24</t>
  </si>
  <si>
    <t>30SAT4000204.24</t>
  </si>
  <si>
    <t>204.25</t>
  </si>
  <si>
    <t>RCV.CORR.01.LN01.000204.25</t>
  </si>
  <si>
    <t>RECEIVE SYSTEM, CORRAL, CORRAL 01, LANE LINE 1, 000204.25; CP204.24 E-5054:MCP01</t>
  </si>
  <si>
    <t>000204.25</t>
  </si>
  <si>
    <t>30SAT4000204.25</t>
  </si>
  <si>
    <t>204.26</t>
  </si>
  <si>
    <t>RCV.CORR.01.LN01.000204.26</t>
  </si>
  <si>
    <t>RECEIVE SYSTEM, CORRAL, CORRAL 01, LANE LINE 1, 000204.26; CP204.24 E-5054:MCP01</t>
  </si>
  <si>
    <t>000204.26</t>
  </si>
  <si>
    <t>30SAT4000204.26</t>
  </si>
  <si>
    <t>204.27</t>
  </si>
  <si>
    <t>RCV.CORR.01.LN01.000204.27</t>
  </si>
  <si>
    <t>RECEIVE SYSTEM, CORRAL, CORRAL 01, LANE LINE 1, 000204.27; CP204.24 E-5054:MCP01</t>
  </si>
  <si>
    <t>000204.27</t>
  </si>
  <si>
    <t>30SAT4000204.27</t>
  </si>
  <si>
    <t>204.28</t>
  </si>
  <si>
    <t>RCV.CORR.01.LN01.000204.28</t>
  </si>
  <si>
    <t>RECEIVE SYSTEM, CORRAL, CORRAL 01, LANE LINE 1, 000204.28; CP204.24 E-5054:MCP01</t>
  </si>
  <si>
    <t>000204.28</t>
  </si>
  <si>
    <t>30SAT4000204.28</t>
  </si>
  <si>
    <t>204.29</t>
  </si>
  <si>
    <t>RCV.CORR.01.LN01.000204.29</t>
  </si>
  <si>
    <t>RECEIVE SYSTEM, CORRAL, CORRAL 01, LANE LINE 1, 000204.29; CP204.24 E-5054:MCP01</t>
  </si>
  <si>
    <t>000204.29</t>
  </si>
  <si>
    <t>30SAT4000204.29</t>
  </si>
  <si>
    <t>204.30</t>
  </si>
  <si>
    <t>RCV.CORR.01.LN01.000204.30</t>
  </si>
  <si>
    <t>RECEIVE SYSTEM, CORRAL, CORRAL 01, LANE LINE 1, 000204.30; CP204.24 E-5054:MCP01</t>
  </si>
  <si>
    <t>000204.30</t>
  </si>
  <si>
    <t>30SAT4000204.30</t>
  </si>
  <si>
    <t>204.31</t>
  </si>
  <si>
    <t>RCV.CORR.01.LN01.000204.31</t>
  </si>
  <si>
    <t>RECEIVE SYSTEM, CORRAL, CORRAL 01, LANE LINE 1, 000204.31; CP204.24 E-5054:MCP01</t>
  </si>
  <si>
    <t>000204.31</t>
  </si>
  <si>
    <t>30SAT4000204.31</t>
  </si>
  <si>
    <t>204.32</t>
  </si>
  <si>
    <t>RCV.CORR.01.LN01.000204.32</t>
  </si>
  <si>
    <t>RECEIVE SYSTEM, CORRAL, CORRAL 01, LANE LINE 1, 000204.32; CP204.24 E-5054:MCP01</t>
  </si>
  <si>
    <t>000204.32</t>
  </si>
  <si>
    <t>30SAT4000204.32</t>
  </si>
  <si>
    <t>204.33</t>
  </si>
  <si>
    <t>RCV.CORR.01.LN01.000204.33</t>
  </si>
  <si>
    <t>RECEIVE SYSTEM, CORRAL, CORRAL 01, LANE LINE 1, 000204.33; CP204.24 E-5054:MCP01</t>
  </si>
  <si>
    <t>000204.33</t>
  </si>
  <si>
    <t>30SAT4000204.33</t>
  </si>
  <si>
    <t>205</t>
  </si>
  <si>
    <t>E-5160</t>
  </si>
  <si>
    <t>0.08 cal/cm²</t>
  </si>
  <si>
    <t>CC-11</t>
  </si>
  <si>
    <t>PID.01.PI.000205</t>
  </si>
  <si>
    <t>PARCEL IDENTIFIER SYSTEM, 01, PARCEL IDENTIFIER, 000205; CP205 E-5160: CC11</t>
  </si>
  <si>
    <t>000205</t>
  </si>
  <si>
    <t>WYN.CVB</t>
  </si>
  <si>
    <t>CVB</t>
  </si>
  <si>
    <t>CONV.VB</t>
  </si>
  <si>
    <t>30SAT4000205</t>
  </si>
  <si>
    <t>206</t>
  </si>
  <si>
    <t>E-5159</t>
  </si>
  <si>
    <t>PID.01.PI.000206</t>
  </si>
  <si>
    <t>PARCEL IDENTIFIER SYSTEM, 01, PARCEL IDENTIFIER, 000206; CP206 E-5159: CC11</t>
  </si>
  <si>
    <t>000206</t>
  </si>
  <si>
    <t>30SAT4000206</t>
  </si>
  <si>
    <t>207</t>
  </si>
  <si>
    <t>E-5158</t>
  </si>
  <si>
    <t>PID.01.PI.000207</t>
  </si>
  <si>
    <t>PARCEL IDENTIFIER SYSTEM, 01, PARCEL IDENTIFIER, 000207; CP207 E-5158: CC11</t>
  </si>
  <si>
    <t>000207</t>
  </si>
  <si>
    <t>WYN.CBC</t>
  </si>
  <si>
    <t>CBC</t>
  </si>
  <si>
    <t>30SAT4000207</t>
  </si>
  <si>
    <t>208</t>
  </si>
  <si>
    <t>E-5157</t>
  </si>
  <si>
    <t>PID.01.PI.000208</t>
  </si>
  <si>
    <t>PARCEL IDENTIFIER SYSTEM, 01, PARCEL IDENTIFIER, 000208; CP208 E-5157: CC11</t>
  </si>
  <si>
    <t>000208</t>
  </si>
  <si>
    <t>30SAT4000208</t>
  </si>
  <si>
    <t>209.01</t>
  </si>
  <si>
    <t>E-5156</t>
  </si>
  <si>
    <t>PID.01.PI.000209.01</t>
  </si>
  <si>
    <t>PARCEL IDENTIFIER SYSTEM, 01, PARCEL IDENTIFIER, SCALE; CP209.01 E-5156: CC11</t>
  </si>
  <si>
    <t>000209.01</t>
  </si>
  <si>
    <t>SCALE</t>
  </si>
  <si>
    <t>WIP.SL60.SL80</t>
  </si>
  <si>
    <t>WIPOTEC-OCS</t>
  </si>
  <si>
    <t>SL60/SL80</t>
  </si>
  <si>
    <t>SCL</t>
  </si>
  <si>
    <t>SCL.CONV</t>
  </si>
  <si>
    <t>30SAT4000209.01</t>
  </si>
  <si>
    <t>209.02</t>
  </si>
  <si>
    <t>E-5155</t>
  </si>
  <si>
    <t>PID.01.PI.000209.02</t>
  </si>
  <si>
    <t>PARCEL IDENTIFIER SYSTEM, 01, PARCEL IDENTIFIER, SCALE; CP209.02 E-5155: CC11</t>
  </si>
  <si>
    <t>000209.02</t>
  </si>
  <si>
    <t>WIP.EC.M.SL.3.SI</t>
  </si>
  <si>
    <t>EC-M-SL-3-SI</t>
  </si>
  <si>
    <t>CONV.SCL</t>
  </si>
  <si>
    <t/>
  </si>
  <si>
    <t>210</t>
  </si>
  <si>
    <t>E-5153</t>
  </si>
  <si>
    <t>PID.01.PI.000210</t>
  </si>
  <si>
    <t>PARCEL IDENTIFIER SYSTEM, 01, PARCEL IDENTIFIER, SCALE SCAN; CP210 E-5153: CC11</t>
  </si>
  <si>
    <t>000210</t>
  </si>
  <si>
    <t>SCALE SCAN</t>
  </si>
  <si>
    <t>211.01</t>
  </si>
  <si>
    <t>E-5152</t>
  </si>
  <si>
    <t>211.03</t>
  </si>
  <si>
    <t>PID.01.PI.000211.01</t>
  </si>
  <si>
    <t>PARCEL IDENTIFIER SYSTEM, 01, PARCEL IDENTIFIER, 000211.01; CP211 E-5152: CC11</t>
  </si>
  <si>
    <t>000211.01</t>
  </si>
  <si>
    <t>30SAT4000211.01</t>
  </si>
  <si>
    <t>211.02</t>
  </si>
  <si>
    <t>PID.01.PI.000211.02</t>
  </si>
  <si>
    <t>PARCEL IDENTIFIER SYSTEM, 01, PARCEL IDENTIFIER, 000211.02; CP211 E-5152: CC11</t>
  </si>
  <si>
    <t>000211.02</t>
  </si>
  <si>
    <t>30SAT4000211.02</t>
  </si>
  <si>
    <t>PID.01.PI.000211.03</t>
  </si>
  <si>
    <t>PARCEL IDENTIFIER SYSTEM, 01, PARCEL IDENTIFIER, 000211.03; CP211 E-5152: CC11</t>
  </si>
  <si>
    <t>000211.03</t>
  </si>
  <si>
    <t>30SAT4000211.03</t>
  </si>
  <si>
    <t>212.01</t>
  </si>
  <si>
    <t>E-5044</t>
  </si>
  <si>
    <t>212.08</t>
  </si>
  <si>
    <t>RCV.SRT01.IF.000212.01</t>
  </si>
  <si>
    <t>RECEIVE SYSTEM, RECEIVE SORTER 01, INFEED, 000212.01; CP212.08 E-5044: MCP01</t>
  </si>
  <si>
    <t>000212.01</t>
  </si>
  <si>
    <t>30SAT4000212.01</t>
  </si>
  <si>
    <t>212.02</t>
  </si>
  <si>
    <t>RCV.SRT01.LN.000212.02</t>
  </si>
  <si>
    <t>RECEIVE SYSTEM, RECEIVE SORTER 01, LANE, 000212.02; CP212.08 E-5044: MCP01</t>
  </si>
  <si>
    <t>000212.02</t>
  </si>
  <si>
    <t>30SAT4000212.02</t>
  </si>
  <si>
    <t>212.03</t>
  </si>
  <si>
    <t>RCV.SRT01.LN.000212.03</t>
  </si>
  <si>
    <t>RECEIVE SYSTEM, RECEIVE SORTER 01, LANE, 000212.03; CP212.08 E-5044: MCP01</t>
  </si>
  <si>
    <t>000212.03</t>
  </si>
  <si>
    <t>30SAT4000212.03</t>
  </si>
  <si>
    <t>212.04</t>
  </si>
  <si>
    <t>RCV.SRT01.LN.000212.04</t>
  </si>
  <si>
    <t>RECEIVE SYSTEM, RECEIVE SORTER 01, LANE, 000212.04; CP212.08 E-5044: MCP01</t>
  </si>
  <si>
    <t>000212.04</t>
  </si>
  <si>
    <t>30SAT4000212.04</t>
  </si>
  <si>
    <t>212.05</t>
  </si>
  <si>
    <t>RCV.SRT01.LN.000212.05</t>
  </si>
  <si>
    <t>RECEIVE SYSTEM, RECEIVE SORTER 01, LANE, 000212.05; CP212.08 E-5044: MCP01</t>
  </si>
  <si>
    <t>000212.05</t>
  </si>
  <si>
    <t>30SAT4000212.05</t>
  </si>
  <si>
    <t>212.06</t>
  </si>
  <si>
    <t>RCV.SRT01.LN.000212.06</t>
  </si>
  <si>
    <t>RECEIVE SYSTEM, RECEIVE SORTER 01, LANE, 000212.06; CP212.08 E-5044: MCP01</t>
  </si>
  <si>
    <t>000212.06</t>
  </si>
  <si>
    <t>30SAT4000212.06</t>
  </si>
  <si>
    <t>212.07</t>
  </si>
  <si>
    <t>RCV.SRT01.LN.000212.07</t>
  </si>
  <si>
    <t>RECEIVE SYSTEM, RECEIVE SORTER 01, LANE, 000212.07; CP212.08 E-5044: MCP01</t>
  </si>
  <si>
    <t>000212.07</t>
  </si>
  <si>
    <t>30SAT4000212.07</t>
  </si>
  <si>
    <t>RCV.SRT01.LN.000212.08</t>
  </si>
  <si>
    <t>RECEIVE SYSTEM, RECEIVE SORTER 01, LANE, 000212.08; CP212.08 E-5044: MCP01</t>
  </si>
  <si>
    <t>000212.08</t>
  </si>
  <si>
    <t>30SAT4000212.08</t>
  </si>
  <si>
    <t>212.09</t>
  </si>
  <si>
    <t>RCV.SRT01.LN.000212.09</t>
  </si>
  <si>
    <t>RECEIVE SYSTEM, RECEIVE SORTER 01, LANE, 000212.09; CP212.08 E-5044: MCP01</t>
  </si>
  <si>
    <t>000212.09</t>
  </si>
  <si>
    <t>30SAT4000212.09</t>
  </si>
  <si>
    <t>212.10</t>
  </si>
  <si>
    <t>RCV.SRT01.LN.000212.10</t>
  </si>
  <si>
    <t>RECEIVE SYSTEM, RECEIVE SORTER 01, LANE, 000212.10; CP212.08 E-5044: MCP01</t>
  </si>
  <si>
    <t>000212.10</t>
  </si>
  <si>
    <t>30SAT4000212.10</t>
  </si>
  <si>
    <t>212.11</t>
  </si>
  <si>
    <t>RCV.SRT01.LN.000212.11</t>
  </si>
  <si>
    <t>RECEIVE SYSTEM, RECEIVE SORTER 01, LANE, 000212.11; CP212.08 E-5044: MCP01</t>
  </si>
  <si>
    <t>000212.11</t>
  </si>
  <si>
    <t>30SAT4000212.11</t>
  </si>
  <si>
    <t>212.12</t>
  </si>
  <si>
    <t>RCV.SRT01.LN.000212.12</t>
  </si>
  <si>
    <t>RECEIVE SYSTEM, RECEIVE SORTER 01, LANE, 000212.12; CP212.08 E-5044: MCP01</t>
  </si>
  <si>
    <t>000212.12</t>
  </si>
  <si>
    <t>30SAT4000212.12</t>
  </si>
  <si>
    <t>212.13</t>
  </si>
  <si>
    <t>RCV.SRT01.LN.000212.13</t>
  </si>
  <si>
    <t>RECEIVE SYSTEM, RECEIVE SORTER 01, LANE, 000212.13; CP212.08 E-5044: MCP01</t>
  </si>
  <si>
    <t>000212.13</t>
  </si>
  <si>
    <t>30SAT4000212.13</t>
  </si>
  <si>
    <t>214</t>
  </si>
  <si>
    <t>E-5045</t>
  </si>
  <si>
    <t>RCV.SRT01.LN.000214</t>
  </si>
  <si>
    <t>RECEIVE SYSTEM, RECEIVE SORTER 01, LANE, 000214; CP212.13 E-5045: MCP01</t>
  </si>
  <si>
    <t>000214</t>
  </si>
  <si>
    <t>WYN.CMB</t>
  </si>
  <si>
    <t>CMB</t>
  </si>
  <si>
    <t>30SAT4000214</t>
  </si>
  <si>
    <t>216</t>
  </si>
  <si>
    <t>E-5047</t>
  </si>
  <si>
    <t>218</t>
  </si>
  <si>
    <t>RCV.SRT01.LN.000216</t>
  </si>
  <si>
    <t>RECEIVE SYSTEM, RECEIVE SORTER 01, LANE, 000216; CP218 E-5047: MCP01</t>
  </si>
  <si>
    <t>000216</t>
  </si>
  <si>
    <t>30SAT4000216</t>
  </si>
  <si>
    <t>E-5046</t>
  </si>
  <si>
    <t>RCV.SRT01.LN.000218</t>
  </si>
  <si>
    <t>RECEIVE SYSTEM, RECEIVE SORTER 01, LANE, 000218; CP218 E-5046: MCP01</t>
  </si>
  <si>
    <t>000218</t>
  </si>
  <si>
    <t>FLO.F.SQ.96.43.90.(RH)</t>
  </si>
  <si>
    <t>FLOW-TURN</t>
  </si>
  <si>
    <t>F-SQ-96_43-90 (RH)</t>
  </si>
  <si>
    <t>CONV.BLTCRV</t>
  </si>
  <si>
    <t>30SAT4000218</t>
  </si>
  <si>
    <t>220</t>
  </si>
  <si>
    <t>E-5048</t>
  </si>
  <si>
    <t>222.01</t>
  </si>
  <si>
    <t>SRT.POPUP.</t>
  </si>
  <si>
    <t>POP UP WHEEL BELT SORTER, 000220; CP222.01 E-5048: MCP01</t>
  </si>
  <si>
    <t>000220</t>
  </si>
  <si>
    <t>WYN.AS5</t>
  </si>
  <si>
    <t>AS5</t>
  </si>
  <si>
    <t>SRT</t>
  </si>
  <si>
    <t>SRT.POPUP</t>
  </si>
  <si>
    <t>30SAT4000220</t>
  </si>
  <si>
    <t>E-5049</t>
  </si>
  <si>
    <t>RCV.SRT01.TA.000222.01</t>
  </si>
  <si>
    <t>RECEIVE SYSTEM, RECEIVE SORTER 01, TAKE AWAY, 000222.01; CP222.01 E-5049: MCP01</t>
  </si>
  <si>
    <t>000222.01</t>
  </si>
  <si>
    <t>30SAT4000222.01</t>
  </si>
  <si>
    <t>222.02</t>
  </si>
  <si>
    <t>RCV.SRT01.TA.000222.02</t>
  </si>
  <si>
    <t>RECEIVE SYSTEM, RECEIVE SORTER 01, TAKE AWAY, 000222.02; CP222.01 E-5049: MCP01</t>
  </si>
  <si>
    <t>000222.02</t>
  </si>
  <si>
    <t>30SAT4000222.02</t>
  </si>
  <si>
    <t>222.03</t>
  </si>
  <si>
    <t>RCV.SRT01.TA.000222.03</t>
  </si>
  <si>
    <t>RECEIVE SYSTEM, RECEIVE SORTER 01, TAKE AWAY, 000222.03; CP222.01 E-5049: MCP01</t>
  </si>
  <si>
    <t>000222.03</t>
  </si>
  <si>
    <t>30SAT4000222.03</t>
  </si>
  <si>
    <t>222.04</t>
  </si>
  <si>
    <t>RCV.SRT01.TA.000222.04</t>
  </si>
  <si>
    <t>RECEIVE SYSTEM, RECEIVE SORTER 01, TAKE AWAY, 000222.04; CP222.01 E-5049: MCP01</t>
  </si>
  <si>
    <t>000222.04</t>
  </si>
  <si>
    <t>30SAT4000222.04</t>
  </si>
  <si>
    <t>222.05</t>
  </si>
  <si>
    <t>RCV.SRT01.TA.000222.05</t>
  </si>
  <si>
    <t>RECEIVE SYSTEM, RECEIVE SORTER 01, TAKE AWAY, 000222.05; CP222.01 E-5049: MCP01</t>
  </si>
  <si>
    <t>000222.05</t>
  </si>
  <si>
    <t>30SAT4000222.05</t>
  </si>
  <si>
    <t>224</t>
  </si>
  <si>
    <t>E-5030</t>
  </si>
  <si>
    <t>RCV.SRT01.KO.000224</t>
  </si>
  <si>
    <t>RECEIVE SYSTEM, RECEIVE SORTER 01, KICK OUT, 000224; CP224 E-5030: MCP01</t>
  </si>
  <si>
    <t>000224</t>
  </si>
  <si>
    <t>30SAT4000224</t>
  </si>
  <si>
    <t>226A</t>
  </si>
  <si>
    <t>E-5040</t>
  </si>
  <si>
    <t>RCV.01.IF02.00226A</t>
  </si>
  <si>
    <t>RECEIVE SYSTEM, RECEIVE LINE 01, INFEED, 00226A; CP226A E-5040: MCP01</t>
  </si>
  <si>
    <t>00226A</t>
  </si>
  <si>
    <t>30SAT400226A</t>
  </si>
  <si>
    <t>226B</t>
  </si>
  <si>
    <t>E-5037</t>
  </si>
  <si>
    <t>RCV.01.IF03.00226B</t>
  </si>
  <si>
    <t>RECEIVE SYSTEM, RECEIVE LINE 01, INFEED 03, 00226B; CP226B E-5037: MCP01</t>
  </si>
  <si>
    <t>00226B</t>
  </si>
  <si>
    <t>30SAT400226B</t>
  </si>
  <si>
    <t>226C</t>
  </si>
  <si>
    <t>E-5034</t>
  </si>
  <si>
    <t>RCV.01.IF04.00226C</t>
  </si>
  <si>
    <t>RECEIVE SYSTEM, RECEIVE LINE 01, INFEED 04, 00226C; CP226C E-5034: MCP01</t>
  </si>
  <si>
    <t>00226C</t>
  </si>
  <si>
    <t>30SAT400226C</t>
  </si>
  <si>
    <t>226</t>
  </si>
  <si>
    <t>E-5043</t>
  </si>
  <si>
    <t>RCV.01.IF01.000226</t>
  </si>
  <si>
    <t>RECEIVE SYSTEM, RECEIVE LINE 01, INFEED 01, 000226; CP226 E-5043: MCP01</t>
  </si>
  <si>
    <t>000226</t>
  </si>
  <si>
    <t>30SAT4000226</t>
  </si>
  <si>
    <t>228A</t>
  </si>
  <si>
    <t>E-5038</t>
  </si>
  <si>
    <t>RCV.01.LN02.00228A</t>
  </si>
  <si>
    <t>RECEIVE SYSTEM, RECEIVE LINE 01, LANE 02, 00228A; CP228A E-5038: MCP01</t>
  </si>
  <si>
    <t>00228A</t>
  </si>
  <si>
    <t>30SAT400228A</t>
  </si>
  <si>
    <t>228B</t>
  </si>
  <si>
    <t>E-5035</t>
  </si>
  <si>
    <t>RCV.01.LN03.00228B</t>
  </si>
  <si>
    <t>RECEIVE SYSTEM, RECEIVE LINE 01, LANE 03, 00228B; CP228B E-5035: MCP01</t>
  </si>
  <si>
    <t>00228B</t>
  </si>
  <si>
    <t>30SAT400228B</t>
  </si>
  <si>
    <t>228C</t>
  </si>
  <si>
    <t>E-5033</t>
  </si>
  <si>
    <t>RCV.01.LN04.00228C</t>
  </si>
  <si>
    <t>RECEIVE SYSTEM, RECEIVE LINE 01, LANE 04, 00228C; CP228C E-5033: MCP01</t>
  </si>
  <si>
    <t>00228C</t>
  </si>
  <si>
    <t>30SAT400228C</t>
  </si>
  <si>
    <t>228</t>
  </si>
  <si>
    <t>E-5041</t>
  </si>
  <si>
    <t>RCV.01.LN01.000228</t>
  </si>
  <si>
    <t>RECEIVE SYSTEM, RECEIVE LINE 01, LANE 01, 000228; CP228 E-5041: MCP01</t>
  </si>
  <si>
    <t>000228</t>
  </si>
  <si>
    <t>30SAT4000228</t>
  </si>
  <si>
    <t>300</t>
  </si>
  <si>
    <t>Trash Line</t>
  </si>
  <si>
    <t>E-5042</t>
  </si>
  <si>
    <t>WST.MRG.000300</t>
  </si>
  <si>
    <t>WASTE SYSTEM, WASTE MERGE, 000300; CP300 E-5042: MCP01</t>
  </si>
  <si>
    <t>000300</t>
  </si>
  <si>
    <t>30SAT4000300</t>
  </si>
  <si>
    <t>302</t>
  </si>
  <si>
    <t>E-5039</t>
  </si>
  <si>
    <t>WST.MRG.IF01.000302</t>
  </si>
  <si>
    <t>WASTE SYSTEM, WASTE MERGE, WASTE MERGE INFEED 01, 000302; CP302 E-5039: MCP01</t>
  </si>
  <si>
    <t>000302</t>
  </si>
  <si>
    <t>30SAT4000302</t>
  </si>
  <si>
    <t>304</t>
  </si>
  <si>
    <t>E-5036</t>
  </si>
  <si>
    <t>WST.MRG.IF02.000304</t>
  </si>
  <si>
    <t>WASTE SYSTEM, WASTE MERGE, WASTE MERGE INFEED 02, 000304; CP304 E-5036: MCP01</t>
  </si>
  <si>
    <t>000304</t>
  </si>
  <si>
    <t>30SAT4000304</t>
  </si>
  <si>
    <t>305</t>
  </si>
  <si>
    <t>E-5032</t>
  </si>
  <si>
    <t>WST.MRG.IF03.000305</t>
  </si>
  <si>
    <t>WASTE SYSTEM, WASTE MERGE, WASTE MERGE INFEED 03, 000305; CP305 E-5032: MCP01</t>
  </si>
  <si>
    <t>000305</t>
  </si>
  <si>
    <t>30SAT4000305</t>
  </si>
  <si>
    <t>306</t>
  </si>
  <si>
    <t>E-5031</t>
  </si>
  <si>
    <t>WST.MRG.IF04.000306</t>
  </si>
  <si>
    <t>WASTE SYSTEM, WASTE MERGE, WASTE MERGE INFEED 04, 000306; CP306 E-5031: MCP01</t>
  </si>
  <si>
    <t>000306</t>
  </si>
  <si>
    <t>30SAT4000306</t>
  </si>
  <si>
    <t>308</t>
  </si>
  <si>
    <t>E-5050</t>
  </si>
  <si>
    <t>WST.MRG.LN.000308</t>
  </si>
  <si>
    <t>WASTE SYSTEM, WASTE MERGE, WASTE MERGE LANE, 000308; CP308 E-5050: MCP01</t>
  </si>
  <si>
    <t>000308</t>
  </si>
  <si>
    <t>30SAT4000308</t>
  </si>
  <si>
    <t>310</t>
  </si>
  <si>
    <t>E-5051</t>
  </si>
  <si>
    <t>WST.MRG.TA.000310</t>
  </si>
  <si>
    <t>WASTE SYSTEM, WASTE MERGE, WASTE MERGE TAKEAWAY, 000310; CP310 E-5051: MCP01</t>
  </si>
  <si>
    <t>000310</t>
  </si>
  <si>
    <t>30SAT4000310</t>
  </si>
  <si>
    <t>312</t>
  </si>
  <si>
    <t>E-5052</t>
  </si>
  <si>
    <t>WST.MRG.TA.000312</t>
  </si>
  <si>
    <t>WASTE SYSTEM, WASTE MERGE, WASTE MERGE TAKEAWAY, 000312; CP312 E-5052: MCP01</t>
  </si>
  <si>
    <t>000312</t>
  </si>
  <si>
    <t>30SAT4000312</t>
  </si>
  <si>
    <t>314</t>
  </si>
  <si>
    <t>E-5053</t>
  </si>
  <si>
    <t>WST.MRG.TA.000314</t>
  </si>
  <si>
    <t>WASTE SYSTEM, WASTE MERGE, WASTE MERGE TAKEAWAY, 000314; CP314 E-5053: MCP01</t>
  </si>
  <si>
    <t>000314</t>
  </si>
  <si>
    <t>30SAT4000314</t>
  </si>
  <si>
    <t>402A</t>
  </si>
  <si>
    <t>UPack1</t>
  </si>
  <si>
    <t>E-5082</t>
  </si>
  <si>
    <t>0.11 cal/cm²</t>
  </si>
  <si>
    <t>MCP-62</t>
  </si>
  <si>
    <t>MNL.PCK.01.LN01.00402A</t>
  </si>
  <si>
    <t>MANUAL PACKING, PACK 01, LINE 01, 00402A; CP402A E-5082: MCP62</t>
  </si>
  <si>
    <t>00402A</t>
  </si>
  <si>
    <t>30SAT400402A</t>
  </si>
  <si>
    <t>402B</t>
  </si>
  <si>
    <t>E-5083</t>
  </si>
  <si>
    <t>MNL.PCK.01.LN02.00402B</t>
  </si>
  <si>
    <t>MANUAL PACKING, PACK 01, LINE 02, 00402B; CP402B E-5083: MCP62</t>
  </si>
  <si>
    <t>00402B</t>
  </si>
  <si>
    <t>30SAT400402B</t>
  </si>
  <si>
    <t>402C</t>
  </si>
  <si>
    <t>E-5084</t>
  </si>
  <si>
    <t>MNL.PCK.01.LN03.00402C</t>
  </si>
  <si>
    <t>MANUAL PACKING, PACK 01, LINE 03, 00402C; CP402C E-5084: MCP62</t>
  </si>
  <si>
    <t>00402C</t>
  </si>
  <si>
    <t>30SAT400402C</t>
  </si>
  <si>
    <t>402D</t>
  </si>
  <si>
    <t>E-5085</t>
  </si>
  <si>
    <t>MNL.PCK.01.LN04.00402D</t>
  </si>
  <si>
    <t>MANUAL PACKING, PACK 01, LINE 04, 00402D; CP402D E-5085: MCP62</t>
  </si>
  <si>
    <t>00402D</t>
  </si>
  <si>
    <t>30SAT400402D</t>
  </si>
  <si>
    <t>408A.01</t>
  </si>
  <si>
    <t>E-5081</t>
  </si>
  <si>
    <t>412.08</t>
  </si>
  <si>
    <t>MNL.PCK.01.LN02.00408A.01</t>
  </si>
  <si>
    <t>MANUAL PACKING, PACK 01, LINE 02, 00408A.01; CP408A.01 E-5081: MCP62</t>
  </si>
  <si>
    <t>00408A.01</t>
  </si>
  <si>
    <t>30SAT400408A.01</t>
  </si>
  <si>
    <t>408B.01</t>
  </si>
  <si>
    <t>E-5079</t>
  </si>
  <si>
    <t>412.13</t>
  </si>
  <si>
    <t>MCP62</t>
  </si>
  <si>
    <t>MNL.PCK.01.LN03.00408B.01</t>
  </si>
  <si>
    <t>MANUAL PACKING, PACK 01, LINE 03, 00408B.01; CP412.13 E-5079: MCP62</t>
  </si>
  <si>
    <t>00408B.01</t>
  </si>
  <si>
    <t>30SAT400408B.01</t>
  </si>
  <si>
    <t>408C.01</t>
  </si>
  <si>
    <t>E-5077</t>
  </si>
  <si>
    <t>414.04</t>
  </si>
  <si>
    <t>MNL.PCK.01.LN04.00408C.01</t>
  </si>
  <si>
    <t>MANUAL PACKING, PACK 01, LINE 04, 00408C.01; CP414.04 E-5077: MCP62</t>
  </si>
  <si>
    <t>00408C.01</t>
  </si>
  <si>
    <t>30SAT400408C.01</t>
  </si>
  <si>
    <t>408C.02</t>
  </si>
  <si>
    <t>MNL.PCK.01.IF04.00408C.02</t>
  </si>
  <si>
    <t>MANUAL PACKING, PACK 01, INFEED 04, 00408C.02; CP414.04 E-5077: MCP62</t>
  </si>
  <si>
    <t>00408C.02</t>
  </si>
  <si>
    <t>WYN.C765</t>
  </si>
  <si>
    <t>C765</t>
  </si>
  <si>
    <t>30SAT400408C.02</t>
  </si>
  <si>
    <t>408B.02</t>
  </si>
  <si>
    <t>MNL.PCK.01.IF03.00408B.02</t>
  </si>
  <si>
    <t>MANUAL PACKING, PACK 01, INFEED 03, 00408B.02; CP412.13 E-5079: MCP62</t>
  </si>
  <si>
    <t>00408B.02</t>
  </si>
  <si>
    <t>30SAT400408A.02</t>
  </si>
  <si>
    <t>408A.02</t>
  </si>
  <si>
    <t>MNL.PCK.01.IF02.00408A.02</t>
  </si>
  <si>
    <t>MANUAL PACKING, PACK 01, INFEED 02, 00408A.02; CP412.08 E-5081: MCP62</t>
  </si>
  <si>
    <t>00408A.02</t>
  </si>
  <si>
    <t>408C.03</t>
  </si>
  <si>
    <t>MNL.PCK.01.IF04.00408C.03</t>
  </si>
  <si>
    <t>MANUAL PACKING, PACK 01, INFEED 04, 00408C.03; CP414.04 E-5077: MCP62</t>
  </si>
  <si>
    <t>00408C.03</t>
  </si>
  <si>
    <t>30SAT400408C.03</t>
  </si>
  <si>
    <t>408A.03</t>
  </si>
  <si>
    <t>MNL.PCK.01.IF02.00408A.03</t>
  </si>
  <si>
    <t>MANUAL PACKING, PACK 01, INFEED 02, 00408A.03; CP412.08 E-5081: MCP62</t>
  </si>
  <si>
    <t>00408A.03</t>
  </si>
  <si>
    <t>30SAT400408A.03</t>
  </si>
  <si>
    <t>408B.03</t>
  </si>
  <si>
    <t>MNL.PCK.01.IF03.00408B.03</t>
  </si>
  <si>
    <t>MANUAL PACKING, PACK 01, INFEED 03, 00408B.03; CP412.13 E-5079: MCP62</t>
  </si>
  <si>
    <t>00408B.03</t>
  </si>
  <si>
    <t>408A.04</t>
  </si>
  <si>
    <t>MNL.PCK.01.IF02.00408A.04</t>
  </si>
  <si>
    <t>MANUAL PACKING, PACK 01, INFEED 02, 00408A.04; CP412.08 E-5081: MCP62</t>
  </si>
  <si>
    <t>00408A.04</t>
  </si>
  <si>
    <t>30SAT400408A.04</t>
  </si>
  <si>
    <t>412.01</t>
  </si>
  <si>
    <t>MNL.PCK.01.LN01.000412.01</t>
  </si>
  <si>
    <t>MANUAL PACKING, PACK 01, LINE 01, 000412.01; CP412.08 E-5081: MCP62</t>
  </si>
  <si>
    <t>000412.01</t>
  </si>
  <si>
    <t>30SAT4000412.01</t>
  </si>
  <si>
    <t>412.02</t>
  </si>
  <si>
    <t>MNL.PCK.01.LN01.000412.02</t>
  </si>
  <si>
    <t>MANUAL PACKING, PACK 01, LINE 01, 000412.02; CP412.08 E-5081: MCP62</t>
  </si>
  <si>
    <t>000412.02</t>
  </si>
  <si>
    <t>30SAT4000412.02</t>
  </si>
  <si>
    <t>412.03</t>
  </si>
  <si>
    <t>MNL.PCK.01.IF01.000412.03</t>
  </si>
  <si>
    <t>MANUAL PACKING, PACK 01, INFEED 01, 000412.03; CP412.08 E-5081: MCP62</t>
  </si>
  <si>
    <t>000412.03</t>
  </si>
  <si>
    <t>30SAT4000412.03</t>
  </si>
  <si>
    <t>412.04</t>
  </si>
  <si>
    <t>MRG.01.LN.000412.04</t>
  </si>
  <si>
    <t>MERGE, PACK 01 MERGE, LANE, 000412.04; CP412.08 E-5081: MCP62</t>
  </si>
  <si>
    <t>000412.04</t>
  </si>
  <si>
    <t>30SAT4000412.04</t>
  </si>
  <si>
    <t>412.05</t>
  </si>
  <si>
    <t>MRG.01.LN.000412.05</t>
  </si>
  <si>
    <t>MERGE, PACK 01 MERGE, LANE, 000412.05; CP412.08 E-5081: MCP62</t>
  </si>
  <si>
    <t>000412.05</t>
  </si>
  <si>
    <t>30SAT4000412.05</t>
  </si>
  <si>
    <t>412.06</t>
  </si>
  <si>
    <t>MRG.01.LN.000412.06</t>
  </si>
  <si>
    <t>MERGE, PACK 01 MERGE, LANE, 000412.06; CP412.08 E-5081: MCP62</t>
  </si>
  <si>
    <t>000412.06</t>
  </si>
  <si>
    <t>30SAT4000412.06</t>
  </si>
  <si>
    <t>412.07</t>
  </si>
  <si>
    <t>MRG.01.LN.000412.07</t>
  </si>
  <si>
    <t>MERGE, PACK 01 MERGE, LANE, 000412.07; CP412.08 E-5081: MCP62</t>
  </si>
  <si>
    <t>000412.07</t>
  </si>
  <si>
    <t>30SAT4000412.07</t>
  </si>
  <si>
    <t>MRG.01.LN.000412.08</t>
  </si>
  <si>
    <t>MERGE, PACK 01 MERGE, LANE, 000412.08; CP412.08 E-5081: MCP62</t>
  </si>
  <si>
    <t>000412.08</t>
  </si>
  <si>
    <t>30SAT4000412.08</t>
  </si>
  <si>
    <t>412.09</t>
  </si>
  <si>
    <t>MRG.01.LN.000412.09</t>
  </si>
  <si>
    <t>MERGE, PACK 01 MERGE, LANE, 000412.09; CP412.08 E-5081: MCP62</t>
  </si>
  <si>
    <t>000412.09</t>
  </si>
  <si>
    <t>30SAT4000412.09</t>
  </si>
  <si>
    <t>412.10</t>
  </si>
  <si>
    <t>MRG.01.LN.000412.10</t>
  </si>
  <si>
    <t>MERGE, PACK 01 MERGE, LANE, 000412.10; CP412.13 E-5079: MCP62</t>
  </si>
  <si>
    <t>000412.10</t>
  </si>
  <si>
    <t>30SAT4000412.10</t>
  </si>
  <si>
    <t>412.11</t>
  </si>
  <si>
    <t>MRG.01.LN.000412.11</t>
  </si>
  <si>
    <t>MERGE, PACK 01 MERGE, LANE, 000412.11; CP412.13 E-5079: MCP62</t>
  </si>
  <si>
    <t>000412.11</t>
  </si>
  <si>
    <t>30SAT4000412.11</t>
  </si>
  <si>
    <t>412.12</t>
  </si>
  <si>
    <t>MRG.01.LN.000412.12</t>
  </si>
  <si>
    <t>MERGE, PACK 01 MERGE, LANE, 000412.12; CP412.13 E-5079: MCP62</t>
  </si>
  <si>
    <t>000412.12</t>
  </si>
  <si>
    <t>30SAT4000412.12</t>
  </si>
  <si>
    <t>MRG.01.LN.000412.13</t>
  </si>
  <si>
    <t>MERGE, PACK 01 MERGE, LANE, 000412.13; CP412.13 E-5079: MCP62</t>
  </si>
  <si>
    <t>000412.13</t>
  </si>
  <si>
    <t>30SAT4000412.13</t>
  </si>
  <si>
    <t>412.14</t>
  </si>
  <si>
    <t>MRG.01.LN.000412.14</t>
  </si>
  <si>
    <t>MERGE, PACK 01 MERGE, LANE, 000412.14; CP412.13 E-5079: MCP62</t>
  </si>
  <si>
    <t>000412.14</t>
  </si>
  <si>
    <t>30SAT4000412.14</t>
  </si>
  <si>
    <t>412.15</t>
  </si>
  <si>
    <t>MRG.01.LN.000412.15</t>
  </si>
  <si>
    <t>MERGE, PACK 01 MERGE, LANE, 000412.15; CP412.13 E-5079: MCP62</t>
  </si>
  <si>
    <t>000412.15</t>
  </si>
  <si>
    <t>30SAT4000412.15</t>
  </si>
  <si>
    <t>412.16</t>
  </si>
  <si>
    <t>MRG.01.LN.000412.16</t>
  </si>
  <si>
    <t>MERGE, PACK 01 MERGE, LANE, 000412.16; CP412.13 E-5079: MCP62</t>
  </si>
  <si>
    <t>000412.16</t>
  </si>
  <si>
    <t>30SAT4000412.16</t>
  </si>
  <si>
    <t>412.17</t>
  </si>
  <si>
    <t>MRG.01.LN.000412.17</t>
  </si>
  <si>
    <t>MERGE, PACK 01 MERGE, LANE, 000412.17; CP412.13 E-5079: MCP62</t>
  </si>
  <si>
    <t>000412.17</t>
  </si>
  <si>
    <t>30SAT4000412.17</t>
  </si>
  <si>
    <t>412.18</t>
  </si>
  <si>
    <t>MRG.01.LN.000412.18</t>
  </si>
  <si>
    <t>MERGE, PACK 01 MERGE, LANE, 000412.18; CP412.13 E-5079: MCP62</t>
  </si>
  <si>
    <t>000412.18</t>
  </si>
  <si>
    <t>30SAT4000412.18</t>
  </si>
  <si>
    <t>412.19</t>
  </si>
  <si>
    <t>MRG.01.LN.000412.19</t>
  </si>
  <si>
    <t>MERGE, PACK 01 MERGE, LANE, 000412.19; CP412.13 E-5079: MCP62</t>
  </si>
  <si>
    <t>000412.19</t>
  </si>
  <si>
    <t>30SAT4000412.19</t>
  </si>
  <si>
    <t>412.20</t>
  </si>
  <si>
    <t>MRG.01.LN.000412.20</t>
  </si>
  <si>
    <t>MERGE, PACK 01 MERGE, LANE, 000412.20; CP412.13 E-5079: MCP62</t>
  </si>
  <si>
    <t>000412.20</t>
  </si>
  <si>
    <t>30SAT4000412.20</t>
  </si>
  <si>
    <t>414.01</t>
  </si>
  <si>
    <t>MRG.01.LN.000414.01</t>
  </si>
  <si>
    <t>MERGE, PACK 01 MERGE, LANE, 000414.01; CP414.04 E-5077: MCP62</t>
  </si>
  <si>
    <t>000414.01</t>
  </si>
  <si>
    <t>30SAT4000414.01</t>
  </si>
  <si>
    <t>414.02</t>
  </si>
  <si>
    <t>MRG.01.LN.000414.02</t>
  </si>
  <si>
    <t>MERGE, PACK 01 MERGE, LANE, 000414.02; CP414.04 E-5077: MCP62</t>
  </si>
  <si>
    <t>000414.02</t>
  </si>
  <si>
    <t>30SAT4000414.02</t>
  </si>
  <si>
    <t>414.03</t>
  </si>
  <si>
    <t>MRG.01.LN.TA.000414.03</t>
  </si>
  <si>
    <t>MERGE, PACK 01 MERGE, LANE, TAKEAWAY, 000414.03; CP414.04 E-5077: MCP62</t>
  </si>
  <si>
    <t>000414.03</t>
  </si>
  <si>
    <t>30SAT4000414.03</t>
  </si>
  <si>
    <t>MRG.01.LN.TA.000414.04</t>
  </si>
  <si>
    <t>MERGE, PACK 01 MERGE, LANE, TAKEAWAY, 000414.04; CP414.04 E-5077: MCP62</t>
  </si>
  <si>
    <t>000414.04</t>
  </si>
  <si>
    <t>30SAT4000414.04</t>
  </si>
  <si>
    <t>414.05</t>
  </si>
  <si>
    <t>MRG.01.LN.TA.000414.05</t>
  </si>
  <si>
    <t>MERGE, PACK 01 MERGE, LANE, TAKEAWAY, 000414.05; CP414.04 E-5077: MCP62</t>
  </si>
  <si>
    <t>000414.05</t>
  </si>
  <si>
    <t>30SAT4000414.05</t>
  </si>
  <si>
    <t>414.06</t>
  </si>
  <si>
    <t>MRG.01.LN.TA.000414.06</t>
  </si>
  <si>
    <t>MERGE, PACK 01 MERGE, LANE, TAKEAWAY, 000414.06; CP414.06 E-5077: MCP62</t>
  </si>
  <si>
    <t>000414.06</t>
  </si>
  <si>
    <t>30SAT4000414.06</t>
  </si>
  <si>
    <t>414.07</t>
  </si>
  <si>
    <t>MRG.01.LN.TA.000414.07</t>
  </si>
  <si>
    <t>MERGE, PACK 01 MERGE, LANE, TAKEAWAY, 000414.07; CP414.04 E-5077: MCP62</t>
  </si>
  <si>
    <t>000414.07</t>
  </si>
  <si>
    <t>30SAT4000414.07</t>
  </si>
  <si>
    <t>414.08</t>
  </si>
  <si>
    <t>MRG.01.LN.TA.000414.08</t>
  </si>
  <si>
    <t>MERGE, PACK 01 MERGE, LANE, TAKEAWAY, 000414.08; CP414.04 E-5077: MCP62</t>
  </si>
  <si>
    <t>000414.08</t>
  </si>
  <si>
    <t>30SAT4000414.08</t>
  </si>
  <si>
    <t>414.09</t>
  </si>
  <si>
    <t>MRG.01.LN.TA.000414.09</t>
  </si>
  <si>
    <t>MERGE, PACK 01 MERGE, LANE, TAKEAWAY, 000414.09; CP414.04 E-5077: MCP62</t>
  </si>
  <si>
    <t>000414.09</t>
  </si>
  <si>
    <t>30SAT4000414.09</t>
  </si>
  <si>
    <t>414.10</t>
  </si>
  <si>
    <t>E-5073</t>
  </si>
  <si>
    <t>MRG.01.LN.TA.000414.10</t>
  </si>
  <si>
    <t>MERGE, PACK 01 MERGE, LANE, TAKEAWAY, 000414.10; CP414.1 E-5073: MCP62</t>
  </si>
  <si>
    <t>000414.10</t>
  </si>
  <si>
    <t>30SAT4000414.10</t>
  </si>
  <si>
    <t>414.11</t>
  </si>
  <si>
    <t>MRG.01.LN.TA.000414.11</t>
  </si>
  <si>
    <t>MERGE, PACK 01 MERGE, LANE, TAKEAWAY, 000414.11; CP414.1 E-5073: MCP62</t>
  </si>
  <si>
    <t>000414.11</t>
  </si>
  <si>
    <t>30SAT4000414.11</t>
  </si>
  <si>
    <t>414.12</t>
  </si>
  <si>
    <t>MRG.01.LN.TA.000414.12</t>
  </si>
  <si>
    <t>MERGE, PACK 01 MERGE, LANE, TAKEAWAY, 000414.12; CP414.1 E-5073: MCP62</t>
  </si>
  <si>
    <t>000414.12</t>
  </si>
  <si>
    <t>30SAT4000414.12</t>
  </si>
  <si>
    <t>414.13</t>
  </si>
  <si>
    <t>MRG.01.LN.TA.000414.13</t>
  </si>
  <si>
    <t>MERGE, PACK 01 MERGE, LANE, TAKEAWAY, 000414.13; CP414.1 E-5073: MCP62</t>
  </si>
  <si>
    <t>000414.13</t>
  </si>
  <si>
    <t>30SAT4000414.13</t>
  </si>
  <si>
    <t>415.01</t>
  </si>
  <si>
    <t>E-5019</t>
  </si>
  <si>
    <t>415.04</t>
  </si>
  <si>
    <t>0.03 cal/cm²</t>
  </si>
  <si>
    <t>CC-103-1</t>
  </si>
  <si>
    <t>SLAM.01.000415.01</t>
  </si>
  <si>
    <t>SLAM, 01, 000415.01; UPACK1; CP415.04 E-5019: CC103-1</t>
  </si>
  <si>
    <t>000415.01</t>
  </si>
  <si>
    <t>30SAT4000415.01</t>
  </si>
  <si>
    <t>415.02</t>
  </si>
  <si>
    <t>SLAM.01.000415.02</t>
  </si>
  <si>
    <t>SLAM, 01, 000415.02; UPACK1; CP415.04 E-5019: CC103-1</t>
  </si>
  <si>
    <t>000415.02</t>
  </si>
  <si>
    <t>30SAT4000415.02</t>
  </si>
  <si>
    <t>415.03</t>
  </si>
  <si>
    <t>SLAM.01.000415.03</t>
  </si>
  <si>
    <t>SLAM, 01, 000415.03; UPACK1; CP415.04 E-5019: CC103-1</t>
  </si>
  <si>
    <t>000415.03</t>
  </si>
  <si>
    <t>MET.ICS469-100</t>
  </si>
  <si>
    <t>METTLER TOLEDO</t>
  </si>
  <si>
    <t>ICS469-100</t>
  </si>
  <si>
    <t>30SAT4000415.03</t>
  </si>
  <si>
    <t>SLAM.01.000415.04</t>
  </si>
  <si>
    <t>SLAM, 01, 000415.04; UPACK1; CP415.04 E-5019: CC103-1</t>
  </si>
  <si>
    <t>000415.04</t>
  </si>
  <si>
    <t>30SAT4000415.04</t>
  </si>
  <si>
    <t>415.05</t>
  </si>
  <si>
    <t>SLAM.01.000415.05</t>
  </si>
  <si>
    <t>SLAM, 01, 000415.05; UPACK1; CP415.04 E-5019: CC103-1</t>
  </si>
  <si>
    <t>000415.05</t>
  </si>
  <si>
    <t>30SAT4000415.05</t>
  </si>
  <si>
    <t>415.06</t>
  </si>
  <si>
    <t>SLAM.01.PTR1</t>
  </si>
  <si>
    <t>SLAM, 01, PRINT APPLY MACHINE; 000415.06; UPACK1; CP415.04 E-5019: CC103-1</t>
  </si>
  <si>
    <t>000415.06</t>
  </si>
  <si>
    <t>PRINT APPLY MACHINE; 000415.06; CC103-1</t>
  </si>
  <si>
    <t>30SAT4000415.06</t>
  </si>
  <si>
    <t>415.07</t>
  </si>
  <si>
    <t>SLAM.01.PTR2</t>
  </si>
  <si>
    <t>SLAM, 01, PRINT APPLY MACHINE; 000415.07; UPACK1; CP415.04 E-5019: CC103-1</t>
  </si>
  <si>
    <t>000415.07</t>
  </si>
  <si>
    <t>PRINT APPLY MACHINE; 000415.07; CC103-1</t>
  </si>
  <si>
    <t>30SAT4000415.07</t>
  </si>
  <si>
    <t>415.08</t>
  </si>
  <si>
    <t>SLAM.01.IND</t>
  </si>
  <si>
    <t>SLAM, 01, 06 - VERIFICATION, SHP.POPUP.2; ROLLER ACCUM CONV; 000415.08; CC103-1</t>
  </si>
  <si>
    <t>IND</t>
  </si>
  <si>
    <t>06 - VERIFICATION</t>
  </si>
  <si>
    <t>30SAT4000415.08</t>
  </si>
  <si>
    <t>415.09</t>
  </si>
  <si>
    <t>SLAM.01.000415.09</t>
  </si>
  <si>
    <t>SHP.POPUP.2; SLAM 01; ROLLER ACCUMULATOR CONV; 000415.09; 415.04 E5019: CC103-1</t>
  </si>
  <si>
    <t>000415.09</t>
  </si>
  <si>
    <t>WYN.SLAMDIVERT</t>
  </si>
  <si>
    <t>SLAMDIVERT</t>
  </si>
  <si>
    <t>30SAT4000415.09</t>
  </si>
  <si>
    <t>415.10</t>
  </si>
  <si>
    <t>SLAM.01.000415.10</t>
  </si>
  <si>
    <t>SHP.POPUP.2; SLAM 01; ROLLER ACCUMULATOR CONV; 000415.10; 415.04 E-5019: CC103-1</t>
  </si>
  <si>
    <t>000415.10</t>
  </si>
  <si>
    <t>30SAT4000415.10</t>
  </si>
  <si>
    <t>415.11</t>
  </si>
  <si>
    <t>SLAM.01.TKWY1.000415.11</t>
  </si>
  <si>
    <t>SLAM, 01, 07 - KICK-OUT, 000415.11; UPACK1; CP415.04 E-5019: CC103-1</t>
  </si>
  <si>
    <t>000415.11</t>
  </si>
  <si>
    <t>30SAT4000415.11</t>
  </si>
  <si>
    <t>416.01</t>
  </si>
  <si>
    <t>E-5078</t>
  </si>
  <si>
    <t>416.07</t>
  </si>
  <si>
    <t>SHP.SRT01.IF.000416.01</t>
  </si>
  <si>
    <t>SHIPPING, SORTER SHIP 01, INFEED, 000416.01; UPACK1; CP416.07 E-5078: MCP62</t>
  </si>
  <si>
    <t>000416.01</t>
  </si>
  <si>
    <t>30SAT4000416.01</t>
  </si>
  <si>
    <t>416.02</t>
  </si>
  <si>
    <t>SHP.SRT01.IF.000416.02 &amp; SLAM.01.TKWY1.000416.02</t>
  </si>
  <si>
    <t>Both updated</t>
  </si>
  <si>
    <t>416.03</t>
  </si>
  <si>
    <t>SHP.SRT01.IF.000416.03 &amp; SLAM.01.TKWY1.000416.03</t>
  </si>
  <si>
    <t>416.04</t>
  </si>
  <si>
    <t>SHP.SRT01.IF.000416.04</t>
  </si>
  <si>
    <t>SHIPPING, SORTER SHIP 01, INFEED, 000416.04; UPACK1; CP416.07 E-5078: MCP62</t>
  </si>
  <si>
    <t>000416.04</t>
  </si>
  <si>
    <t>30SAT4000416.04</t>
  </si>
  <si>
    <t>416.05</t>
  </si>
  <si>
    <t>SHP.SRT01.IF.000416.05</t>
  </si>
  <si>
    <t>SHIPPING, SORTER SHIP 01, INFEED, 000416.05; UPACK1; CP416.07 E-5078: MCP62</t>
  </si>
  <si>
    <t>000416.05</t>
  </si>
  <si>
    <t>30SAT4000416.05</t>
  </si>
  <si>
    <t>416.06</t>
  </si>
  <si>
    <t>SHP.SRT01.IF.000416.06</t>
  </si>
  <si>
    <t>SHIPPING, SORTER SHIP 01, INFEED, 000416.06; UPACK1; CP416.07 E-5078: MCP62</t>
  </si>
  <si>
    <t>000416.06</t>
  </si>
  <si>
    <t>WYN.C757</t>
  </si>
  <si>
    <t>C757</t>
  </si>
  <si>
    <t>30SAT4000416.06</t>
  </si>
  <si>
    <t>SHP.SRT01.IF.000416.07</t>
  </si>
  <si>
    <t>SHIPPING, SORTER SHIP 01, INFEED, 000416.07; UPACK1; CP416.07 E-5078: MCP62</t>
  </si>
  <si>
    <t>000416.07</t>
  </si>
  <si>
    <t>WYN.C753</t>
  </si>
  <si>
    <t>C753</t>
  </si>
  <si>
    <t>30SAT4000416.07</t>
  </si>
  <si>
    <t>416.08</t>
  </si>
  <si>
    <t>SHP.SRT01.IF.000416.08</t>
  </si>
  <si>
    <t>SHIPPING, SORTER SHIP 01, INFEED, 000416.08; UPACK1; CP416.07 E-5078: MCP62</t>
  </si>
  <si>
    <t>000416.08</t>
  </si>
  <si>
    <t>WYN.C758</t>
  </si>
  <si>
    <t>C758</t>
  </si>
  <si>
    <t>30SAT4000416.08</t>
  </si>
  <si>
    <t>416.09</t>
  </si>
  <si>
    <t>SHP.SRT01.IF.000416.09</t>
  </si>
  <si>
    <t>SHIPPING, SORTER SHIP 01, INFEED, 000416.09; UPACK1; CP416.07 E-5078: MCP62</t>
  </si>
  <si>
    <t>000416.09</t>
  </si>
  <si>
    <t>30SAT4000416.09</t>
  </si>
  <si>
    <t>416.10</t>
  </si>
  <si>
    <t>SHP.SRT01.IF.000416.10</t>
  </si>
  <si>
    <t>SHIPPING, SORTER SHIP 01, INFEED, 000416.10; UPACK1; CP416.07 E-5078: MCP62</t>
  </si>
  <si>
    <t>000416.10</t>
  </si>
  <si>
    <t>30SAT4000416.10</t>
  </si>
  <si>
    <t>416.11</t>
  </si>
  <si>
    <t>SHP.SRT01.IF.000416.11</t>
  </si>
  <si>
    <t>SHIPPING, SORTER SHIP 01, INFEED, 000416.11; UPACK1; CP416.07 E-5078: MCP62</t>
  </si>
  <si>
    <t>000416.11</t>
  </si>
  <si>
    <t>30SAT4000416.11</t>
  </si>
  <si>
    <t>416.12</t>
  </si>
  <si>
    <t>SHP.SRT01.IF.000416.12</t>
  </si>
  <si>
    <t>SHIPPING, SORTER SHIP 01, INFEED, 000416.12; UPACK1; CP416.07 E-5078: MCP62</t>
  </si>
  <si>
    <t>000416.12</t>
  </si>
  <si>
    <t>30SAT4000416.12</t>
  </si>
  <si>
    <t>416.13</t>
  </si>
  <si>
    <t>SHP.SRT01.IF.000416.13</t>
  </si>
  <si>
    <t>SHIPPING, SORTER SHIP 01, INFEED, 000416.13; UPACK1; CP416.07 E-5078: MCP62</t>
  </si>
  <si>
    <t>000416.13</t>
  </si>
  <si>
    <t>30SAT4000416.13</t>
  </si>
  <si>
    <t>416.14</t>
  </si>
  <si>
    <t>SHP.SRT01.IF.000416.14</t>
  </si>
  <si>
    <t>SHIPPING, SORTER SHIP 01, INFEED, 000416.14; UPACK1; CP416.07 E-5078: MCP62</t>
  </si>
  <si>
    <t>000416.14</t>
  </si>
  <si>
    <t>30SAT4000416.14</t>
  </si>
  <si>
    <t>416.15</t>
  </si>
  <si>
    <t>E-5080</t>
  </si>
  <si>
    <t>448.03</t>
  </si>
  <si>
    <t>SHP.SRT01.IF.000416.15</t>
  </si>
  <si>
    <t>SHIPPING, SORTER SHIP 01, INFEED, 000416.15; UPACK1; CP448.03 E-5080: MCP62</t>
  </si>
  <si>
    <t>000416.15</t>
  </si>
  <si>
    <t>30SAT4000416.15</t>
  </si>
  <si>
    <t>416.16</t>
  </si>
  <si>
    <t>SHP.SRT01.IF.000416.16</t>
  </si>
  <si>
    <t>SHIPPING, SORTER SHIP 01, INFEED, 000416.16; UPACK1; CP448.03 E-5080: MCP62</t>
  </si>
  <si>
    <t>000416.16</t>
  </si>
  <si>
    <t>30SAT4000416.16</t>
  </si>
  <si>
    <t>418.01</t>
  </si>
  <si>
    <t>SLAM.01.000418.01</t>
  </si>
  <si>
    <t>SLAM, 01, KICK-OUT; UPACK1; 000418.01; MCP62</t>
  </si>
  <si>
    <t>000418.01</t>
  </si>
  <si>
    <t>30SAT4000418.01</t>
  </si>
  <si>
    <t>448.01</t>
  </si>
  <si>
    <t>SHP.SRT01.IF.000448.01</t>
  </si>
  <si>
    <t>SHIPPING, SORTER SHIP 01, INFEED, 000448.01; UPACK1; CP448.03 E-5080: MCP62</t>
  </si>
  <si>
    <t>000448.01</t>
  </si>
  <si>
    <t>30SAT4000448.01</t>
  </si>
  <si>
    <t>448.02</t>
  </si>
  <si>
    <t>SHP.SRT01.IF.000448.02</t>
  </si>
  <si>
    <t>SHIPPING, SORTER SHIP 01, INFEED, 000448.02; UPACK1; CP448.03 E-5080: MCP62</t>
  </si>
  <si>
    <t>000448.02</t>
  </si>
  <si>
    <t>30SAT4000448.02</t>
  </si>
  <si>
    <t>SHP.SRT01.IF.000448.03</t>
  </si>
  <si>
    <t>SHIPPING, SORTER SHIP 01, INFEED, 000448.03; UPACK1; CP448.03 E-5080: MCP62</t>
  </si>
  <si>
    <t>000448.03</t>
  </si>
  <si>
    <t>30SAT4000448.03</t>
  </si>
  <si>
    <t>448.04</t>
  </si>
  <si>
    <t>SHP.SRT01.IF.000448.04</t>
  </si>
  <si>
    <t>SHIPPING, SORTER SHIP 01, INFEED, 000448.04; UPACK1; CP448.03 E-5080: MCP62</t>
  </si>
  <si>
    <t>000448.04</t>
  </si>
  <si>
    <t>30SAT4000448.04</t>
  </si>
  <si>
    <t>448.05</t>
  </si>
  <si>
    <t>SHP.SRT01.IF.000448.05</t>
  </si>
  <si>
    <t>SHIPPING, SORTER SHIP 01, INFEED, 000448.05; UPACK1; CP448.03 E-5080: MCP62</t>
  </si>
  <si>
    <t>000448.05</t>
  </si>
  <si>
    <t>30SAT4000448.05</t>
  </si>
  <si>
    <t>448.06</t>
  </si>
  <si>
    <t>SHP.SRT01.IF.000448.06</t>
  </si>
  <si>
    <t>SHIPPING, SORTER SHIP 01, INFEED, 000448.06; UPACK1; CP448.03 E-5080: MCP62</t>
  </si>
  <si>
    <t>000448.06</t>
  </si>
  <si>
    <t>30SAT4000448.06</t>
  </si>
  <si>
    <t>450</t>
  </si>
  <si>
    <t>E5071</t>
  </si>
  <si>
    <t>SHP.SRT01.IF.000450</t>
  </si>
  <si>
    <t>SHIPPING, SORTER SHIP 01, INFEED, 000450; UPACK1; CP448.05 E-5071: MCP62</t>
  </si>
  <si>
    <t>000450</t>
  </si>
  <si>
    <t>30SAT4000450</t>
  </si>
  <si>
    <t>452</t>
  </si>
  <si>
    <t>E-5059</t>
  </si>
  <si>
    <t>SHP.SRT01.IF.000452</t>
  </si>
  <si>
    <t>SHIPPING, SORTER SHIP 01, INFEED, 000452; UPACK1; CP452 E-5059: MCP62</t>
  </si>
  <si>
    <t>000452</t>
  </si>
  <si>
    <t>30SAT4000452</t>
  </si>
  <si>
    <t>453</t>
  </si>
  <si>
    <t>E-5060</t>
  </si>
  <si>
    <t>SHP.SRT01.LN.000453</t>
  </si>
  <si>
    <t>SHIPPING, SORTER SHIP 01, LANE, 000453; UPACK1; CP452 E-5060: MCP62</t>
  </si>
  <si>
    <t>000453</t>
  </si>
  <si>
    <t>30SAT4000453</t>
  </si>
  <si>
    <t>454</t>
  </si>
  <si>
    <t>E-5063</t>
  </si>
  <si>
    <t>SHP.SRT01.LN.000454</t>
  </si>
  <si>
    <t>SHIPPING, SORTER SHIP 01, LANE, 000454; UPACK1; CP454 E-5063: MCP62</t>
  </si>
  <si>
    <t>000454</t>
  </si>
  <si>
    <t>30SAT4000454</t>
  </si>
  <si>
    <t>456</t>
  </si>
  <si>
    <t>E-5068</t>
  </si>
  <si>
    <t>470.02</t>
  </si>
  <si>
    <t>SHP.SRT01.LN.000456</t>
  </si>
  <si>
    <t>SHIPPING, SORTER SHIP 01, LANE, 000456; UPACK1; CP470.02 E-5068: MCP62</t>
  </si>
  <si>
    <t>000456</t>
  </si>
  <si>
    <t>30SAT4000456</t>
  </si>
  <si>
    <t>460A</t>
  </si>
  <si>
    <t>E-5061</t>
  </si>
  <si>
    <t>SHP.01.LN01.00460A</t>
  </si>
  <si>
    <t>SHIPPING, SHIPPING 01, LINE 01, 00460A; UPACK1; CP460A E-5061: MCP62</t>
  </si>
  <si>
    <t>00460A</t>
  </si>
  <si>
    <t>30SAT400460A</t>
  </si>
  <si>
    <t>460B</t>
  </si>
  <si>
    <t>E-5062</t>
  </si>
  <si>
    <t>SHP.01.LN02.00460B</t>
  </si>
  <si>
    <t>SHIPPING, SHIPPING 01, LINE 02, 00460B; UPACK1; CP460B E-5062: MCP62</t>
  </si>
  <si>
    <t>00460B</t>
  </si>
  <si>
    <t>30SAT400460B</t>
  </si>
  <si>
    <t>460C</t>
  </si>
  <si>
    <t>E-5064</t>
  </si>
  <si>
    <t>SHP.01.LN03.00460C</t>
  </si>
  <si>
    <t>SHIPPING, SHIPPING 01, LINE 03, 00460C; UPACK1; CP460C E-5064: MCP62</t>
  </si>
  <si>
    <t>00460C</t>
  </si>
  <si>
    <t>30SAT400460C</t>
  </si>
  <si>
    <t>460D</t>
  </si>
  <si>
    <t>E-5065</t>
  </si>
  <si>
    <t>SHP.01.LN04.00460D</t>
  </si>
  <si>
    <t>SHIPPING, SHIPPING 01, LINE 04, 00460D; UPACK1; CP460D E-5065: MCP62</t>
  </si>
  <si>
    <t>00460D</t>
  </si>
  <si>
    <t>30SAT400460D</t>
  </si>
  <si>
    <t>460E</t>
  </si>
  <si>
    <t>E-5066</t>
  </si>
  <si>
    <t>SHP.SRT01.TA.00460E</t>
  </si>
  <si>
    <t>SHIPPING, SORTER SHIP 01, SHP 01 TAKEAWAY; UPACK1; CP460E E-5066: MCP62</t>
  </si>
  <si>
    <t>00460E</t>
  </si>
  <si>
    <t>30SAT400460E</t>
  </si>
  <si>
    <t>464A</t>
  </si>
  <si>
    <t>N/A</t>
  </si>
  <si>
    <t>SHP.01.LN01.00464A</t>
  </si>
  <si>
    <t>SHIPPING, SHIPPING 01, LINE 01, 00464A; MCP62</t>
  </si>
  <si>
    <t>00464A</t>
  </si>
  <si>
    <t>WYN.C112</t>
  </si>
  <si>
    <t>C112</t>
  </si>
  <si>
    <t>CONV.RG</t>
  </si>
  <si>
    <t>30SAT400464A</t>
  </si>
  <si>
    <t>464B</t>
  </si>
  <si>
    <t>SHP.01.LN02.00464B</t>
  </si>
  <si>
    <t>SHIPPING, SHIPPING 01, LINE 02, 00464B; MCP62</t>
  </si>
  <si>
    <t>00464B</t>
  </si>
  <si>
    <t>30SAT400464B</t>
  </si>
  <si>
    <t>464C</t>
  </si>
  <si>
    <t>SHP.01.LN03.00464C</t>
  </si>
  <si>
    <t>SHIPPING, SHIPPING 01, LINE 03, 00464C; MCP62</t>
  </si>
  <si>
    <t>00464C</t>
  </si>
  <si>
    <t>30SAT400464C</t>
  </si>
  <si>
    <t>464D</t>
  </si>
  <si>
    <t>SHP.01.LN04.00464D</t>
  </si>
  <si>
    <t>SHIPPING, SHIPPING 01, LINE 04, 00464D; MCP62</t>
  </si>
  <si>
    <t>00464D</t>
  </si>
  <si>
    <t>30SAT400464D</t>
  </si>
  <si>
    <t>470.01</t>
  </si>
  <si>
    <t>E-5069</t>
  </si>
  <si>
    <t>470.08</t>
  </si>
  <si>
    <t>SHP.SRT01.RCRC.000470.01</t>
  </si>
  <si>
    <t>SHIPPING, SORTER SHIP 01, RECIRCULATION, 000470.01; CP470.08 E-5069: MCP62</t>
  </si>
  <si>
    <t>000470.01</t>
  </si>
  <si>
    <t>30SAT4000470.01</t>
  </si>
  <si>
    <t>SHP.SRT01.RCRC.000470.02</t>
  </si>
  <si>
    <t>SHIPPING, SORTER SHIP 01, RECIRCULATION, 000470.02; CP470.08 E-5069: MCP62</t>
  </si>
  <si>
    <t>000470.02</t>
  </si>
  <si>
    <t>30SAT4000470.02</t>
  </si>
  <si>
    <t>470.03</t>
  </si>
  <si>
    <t>SHP.SRT01.RCRC.000470.03</t>
  </si>
  <si>
    <t>SHIPPING, SORTER SHIP 01, RECIRCULATION, 000470.03; CP470.08 E-5069: MCP62</t>
  </si>
  <si>
    <t>000470.03</t>
  </si>
  <si>
    <t>30SAT4000470.03</t>
  </si>
  <si>
    <t>470.04</t>
  </si>
  <si>
    <t>SHP.SRT01.RCRC.000470.04</t>
  </si>
  <si>
    <t>SHIPPING, SORTER SHIP 01, RECIRCULATION, 000470.04; CP470.08 E-5069: MCP62</t>
  </si>
  <si>
    <t>000470.04</t>
  </si>
  <si>
    <t>30SAT4000470.04</t>
  </si>
  <si>
    <t>470.05</t>
  </si>
  <si>
    <t>SHP.SRT01.RCRC.000470.05</t>
  </si>
  <si>
    <t>SHIPPING, SORTER SHIP 01, RECIRCULATION, 000470.05; CP470.08 E-5069: MCP62</t>
  </si>
  <si>
    <t>000470.05</t>
  </si>
  <si>
    <t>30SAT4000470.05</t>
  </si>
  <si>
    <t>470.06</t>
  </si>
  <si>
    <t>SHP.SRT01.RCRC.000470.06</t>
  </si>
  <si>
    <t>SHIPPING, SORTER SHIP 01, RECIRCULATION, 000470.06; CP470.08 E-5069: MCP62</t>
  </si>
  <si>
    <t>000470.06</t>
  </si>
  <si>
    <t>30SAT4000470.06</t>
  </si>
  <si>
    <t>470.07</t>
  </si>
  <si>
    <t>SHP.SRT01.RCRC.000470.07</t>
  </si>
  <si>
    <t>SHIPPING, SORTER SHIP 01, RECIRCULATION, 000470.07; CP470.08 E-5069: MCP62</t>
  </si>
  <si>
    <t>000470.07</t>
  </si>
  <si>
    <t>30SAT4000470.07</t>
  </si>
  <si>
    <t>SHP.SRT01.RCRC.000470.08</t>
  </si>
  <si>
    <t>SHIPPING, SORTER SHIP 01, RECIRCULATION, 000470.08; CP470.08 E-5069: MCP62</t>
  </si>
  <si>
    <t>000470.08</t>
  </si>
  <si>
    <t>30SAT4000470.08</t>
  </si>
  <si>
    <t>470.09</t>
  </si>
  <si>
    <t>SHP.SRT01.RCRC.000470.09</t>
  </si>
  <si>
    <t>SHIPPING, SORTER SHIP 01, RECIRCULATION, 000470.09; CP470.08 E-5069: MCP62</t>
  </si>
  <si>
    <t>000470.09</t>
  </si>
  <si>
    <t>30SAT4000470.09</t>
  </si>
  <si>
    <t>470.10</t>
  </si>
  <si>
    <t>SHP.SRT01.RCRC.000470.10</t>
  </si>
  <si>
    <t>SHIPPING, SORTER SHIP 01, RECIRCULATION, 000470.10; CP470.08 E-5069: MCP62</t>
  </si>
  <si>
    <t>000470.10</t>
  </si>
  <si>
    <t>30SAT4000470.10</t>
  </si>
  <si>
    <t>470.11</t>
  </si>
  <si>
    <t>SHP.SRT01.RCRC.000470.11</t>
  </si>
  <si>
    <t>SHIPPING, SORTER SHIP 01, RECIRCULATION, 000470.11; CP470.08 E-5069: MCP62</t>
  </si>
  <si>
    <t>000470.11</t>
  </si>
  <si>
    <t>30SAT4000470.11</t>
  </si>
  <si>
    <t>470.12</t>
  </si>
  <si>
    <t>SHP.SRT01.RCRC.000470.12</t>
  </si>
  <si>
    <t>SHIPPING, SORTER SHIP 01, RECIRCULATION, 000470.12; CP470.08 E-5069: MCP62</t>
  </si>
  <si>
    <t>000470.12</t>
  </si>
  <si>
    <t>30SAT4000470.12</t>
  </si>
  <si>
    <t>470.13</t>
  </si>
  <si>
    <t>SHP.SRT01.RCRC.000470.13</t>
  </si>
  <si>
    <t>SHIPPING, SORTER SHIP 01, RECIRCULATION, 000470.13; CP470.08 E-5069: MCP62</t>
  </si>
  <si>
    <t>000470.13</t>
  </si>
  <si>
    <t>30SAT4000470.13</t>
  </si>
  <si>
    <t>470.14</t>
  </si>
  <si>
    <t>E-5070</t>
  </si>
  <si>
    <t>470.15</t>
  </si>
  <si>
    <t>SHP.SRT01.RCRC.000470.14</t>
  </si>
  <si>
    <t>SHIPPING, SORTER SHIP 01, RECIRCULATION, 000470.14; CP470.15 E-5070: MCP62</t>
  </si>
  <si>
    <t>000470.14</t>
  </si>
  <si>
    <t>30SAT4000470.14</t>
  </si>
  <si>
    <t>SHP.SRT01.RCRC.000470.15</t>
  </si>
  <si>
    <t>SHIPPING, SORTER SHIP 01, RECIRCULATION, 000470.15; CP470.15 E-5070: MCP62</t>
  </si>
  <si>
    <t>000470.15</t>
  </si>
  <si>
    <t>30SAT4000470.15</t>
  </si>
  <si>
    <t>502A</t>
  </si>
  <si>
    <t>UPack2</t>
  </si>
  <si>
    <t>E-5109</t>
  </si>
  <si>
    <t>0.13 cal/cm²</t>
  </si>
  <si>
    <t>MCP-63</t>
  </si>
  <si>
    <t>MNL.PCK.02.LN01.00502A</t>
  </si>
  <si>
    <t>MANUAL PACKING, PACK 02, LINE 01, 00502A; UPACK2; CP502A E-5109: MCP63</t>
  </si>
  <si>
    <t>00502A</t>
  </si>
  <si>
    <t>30SAT400502A</t>
  </si>
  <si>
    <t>502B</t>
  </si>
  <si>
    <t>E-5110</t>
  </si>
  <si>
    <t>502S</t>
  </si>
  <si>
    <t>MNL.PCK.02.LN02.00502B</t>
  </si>
  <si>
    <t>MANUAL PACKING, PACK 02, LINE 02, 00502B; UPACK2; CP502B E-5110: MCP63</t>
  </si>
  <si>
    <t>00502B</t>
  </si>
  <si>
    <t>30SAT400502B</t>
  </si>
  <si>
    <t>502C</t>
  </si>
  <si>
    <t>E-5111</t>
  </si>
  <si>
    <t>MNL.PCK.02.LN03.00502C</t>
  </si>
  <si>
    <t>MANUAL PACKING, PACK 02, LINE 03, 00502C; UPACK2; CP502C E-5111: MCP63</t>
  </si>
  <si>
    <t>00502C</t>
  </si>
  <si>
    <t>30SAT400502C</t>
  </si>
  <si>
    <t>502D</t>
  </si>
  <si>
    <t>E-5113</t>
  </si>
  <si>
    <t>MNL.PCK.02.LN04.00502D</t>
  </si>
  <si>
    <t>MANUAL PACKING, PACK 02, LINE 04, 00502D; UPACK2; CP502D E-5113: MCP63</t>
  </si>
  <si>
    <t>00502D</t>
  </si>
  <si>
    <t>30SAT400502D</t>
  </si>
  <si>
    <t>508A.01</t>
  </si>
  <si>
    <t>E-5108</t>
  </si>
  <si>
    <t>512.08</t>
  </si>
  <si>
    <t>MNL.PCK.02.LN02.00508A.01</t>
  </si>
  <si>
    <t>MANUAL PACKING, PACK 02, LINE 02, 00508A.01; CP512.08 E-5108: MCP63</t>
  </si>
  <si>
    <t>00508A.01</t>
  </si>
  <si>
    <t>30SAT400508A.01</t>
  </si>
  <si>
    <t>508B.01</t>
  </si>
  <si>
    <t>E-5106</t>
  </si>
  <si>
    <t>512.14</t>
  </si>
  <si>
    <t>MNL.PCK.02.LN03.00508B.01</t>
  </si>
  <si>
    <t>MANUAL PACKING, PACK 02, LINE 03, 00508B.01; CP512.14 E-5106: MCP63</t>
  </si>
  <si>
    <t>00508B.01</t>
  </si>
  <si>
    <t>30SAT400508B.01</t>
  </si>
  <si>
    <t>508C.01</t>
  </si>
  <si>
    <t>E-5104</t>
  </si>
  <si>
    <t>514.04</t>
  </si>
  <si>
    <t>MNL.PCK.02.LN04.00508C.01</t>
  </si>
  <si>
    <t>MANUAL PACKING, PACK 02, LINE 04, 00508C.01; CP514.04 E-5104: MCP63</t>
  </si>
  <si>
    <t>00508C.01</t>
  </si>
  <si>
    <t>30SAT400508C.01</t>
  </si>
  <si>
    <t>508A.02</t>
  </si>
  <si>
    <t>MRG.02.IF02.00508A.02</t>
  </si>
  <si>
    <t>MERGE, PACK 02 MERGE, INFEED 02, 00508A.02; CP512.08 E-5108: MCP63</t>
  </si>
  <si>
    <t>00508A.02</t>
  </si>
  <si>
    <t>30SAT400508A.02</t>
  </si>
  <si>
    <t>508B.02</t>
  </si>
  <si>
    <t>MRG.02.IF03.00508B.02</t>
  </si>
  <si>
    <t>MERGE, PACK 02 MERGE, INFEED 03, 00508B.02; CP512.14 E-5106: MCP63</t>
  </si>
  <si>
    <t>00508B.02</t>
  </si>
  <si>
    <t>30SAT400508B.02</t>
  </si>
  <si>
    <t>508C.02</t>
  </si>
  <si>
    <t>MRG.02.IF04.00508C.02</t>
  </si>
  <si>
    <t>MERGE, PACK 02 MERGE, INFEED 04, 00508C.02; CP514.04 E-5104: MCP63</t>
  </si>
  <si>
    <t>00508C.02</t>
  </si>
  <si>
    <t>30SAT400508C.02</t>
  </si>
  <si>
    <t>508A.03</t>
  </si>
  <si>
    <t>MRG.02.IF02.00508A.03</t>
  </si>
  <si>
    <t>MERGE, PACK 02 MERGE, INFEED 02, 00508A.03; CP512.09 E-5108: MCP63</t>
  </si>
  <si>
    <t>00508A.03</t>
  </si>
  <si>
    <t>30SAT400508A.03</t>
  </si>
  <si>
    <t>508B.03</t>
  </si>
  <si>
    <t>MRG.02.IF03.00508B.03</t>
  </si>
  <si>
    <t>MERGE, PACK 02 MERGE, INFEED 03, 00508B.03; CP512.04 E-5106: MCP63</t>
  </si>
  <si>
    <t>00508B.03</t>
  </si>
  <si>
    <t>30SAT400508B.03</t>
  </si>
  <si>
    <t>508C.03</t>
  </si>
  <si>
    <t>MRG.02.IF04.00508C.03</t>
  </si>
  <si>
    <t>MERGE, PACK 02 MERGE, INFEED 04, 00508C.03; CP514.04 E-5104: MCP63</t>
  </si>
  <si>
    <t>00508C.03</t>
  </si>
  <si>
    <t>30SAT400508C.03</t>
  </si>
  <si>
    <t>508A.04</t>
  </si>
  <si>
    <t>MRG.02.IF02.00508A.04</t>
  </si>
  <si>
    <t>MERGE, PACK 02 MERGE, INFEED 02, 00508A.04; CP512.08 E-5108: MCP63</t>
  </si>
  <si>
    <t>00508A.04</t>
  </si>
  <si>
    <t>30SAT400508A.04</t>
  </si>
  <si>
    <t>512.01</t>
  </si>
  <si>
    <t>MNL.PCK.02.LN01.000512.01</t>
  </si>
  <si>
    <t>MANUAL PACKING, PACK 02, LINE 01, 000512.01; CP512.08 E-5108: MCP63</t>
  </si>
  <si>
    <t>000512.01</t>
  </si>
  <si>
    <t>30SAT4000512.01</t>
  </si>
  <si>
    <t>512.02</t>
  </si>
  <si>
    <t>MNL.PCK.02.LN01.000512.02</t>
  </si>
  <si>
    <t>MANUAL PACKING, PACK 02, LINE 01, 000512.02; CP512.08 E-5108: MCP63</t>
  </si>
  <si>
    <t>000512.02</t>
  </si>
  <si>
    <t>30SAT4000512.02</t>
  </si>
  <si>
    <t>512.03</t>
  </si>
  <si>
    <t>MRG.02.IF01.000512.03</t>
  </si>
  <si>
    <t>MERGE, PACK 02 MERGE, INFEED 01, 000512.03; CP512.08 E-5108: MCP63</t>
  </si>
  <si>
    <t>000512.03</t>
  </si>
  <si>
    <t>30SAT4000512.03</t>
  </si>
  <si>
    <t>512.04</t>
  </si>
  <si>
    <t>MRG.02.LN.000512.04</t>
  </si>
  <si>
    <t>MERGE, PACK 02 MERGE, LANE, 000512.04; CP512.08 E-5108: MCP63</t>
  </si>
  <si>
    <t>000512.04</t>
  </si>
  <si>
    <t>30SAT4000512.04</t>
  </si>
  <si>
    <t>512.05</t>
  </si>
  <si>
    <t>MRG.02.LN.000512.05</t>
  </si>
  <si>
    <t>MERGE, PACK 02 MERGE, LANE, 000512.05; CP512.08 E-5108: MCP63</t>
  </si>
  <si>
    <t>000512.05</t>
  </si>
  <si>
    <t>30SAT4000512.05</t>
  </si>
  <si>
    <t>512.06</t>
  </si>
  <si>
    <t>MRG.02.LN.000512.06</t>
  </si>
  <si>
    <t>MERGE, PACK 02 MERGE, LANE, 000512.06; CP512.08 E-5108: MCP63</t>
  </si>
  <si>
    <t>000512.06</t>
  </si>
  <si>
    <t>30SAT4000512.06</t>
  </si>
  <si>
    <t>512.07</t>
  </si>
  <si>
    <t>MRG.02.LN.000512.07</t>
  </si>
  <si>
    <t>MERGE, PACK 02 MERGE, LANE, 000512.07; CP512.08 E-5108: MCP63</t>
  </si>
  <si>
    <t>000512.07</t>
  </si>
  <si>
    <t>30SAT4000512.07</t>
  </si>
  <si>
    <t>MRG.02.LN.000512.08</t>
  </si>
  <si>
    <t>MERGE, PACK 02 MERGE, LANE, 000512.08; CP512.08 E-5108: MCP63</t>
  </si>
  <si>
    <t>000512.08</t>
  </si>
  <si>
    <t>30SAT4000512.08</t>
  </si>
  <si>
    <t>512.09</t>
  </si>
  <si>
    <t>MRG.02.LN.000512.09</t>
  </si>
  <si>
    <t>MERGE, PACK 02 MERGE, LANE, 000512.09; CP512.08 E-5108: MCP63</t>
  </si>
  <si>
    <t>000512.09</t>
  </si>
  <si>
    <t>30SAT4000512.09</t>
  </si>
  <si>
    <t>512.10</t>
  </si>
  <si>
    <t>MRG.02.LN.000512.10</t>
  </si>
  <si>
    <t>MERGE, PACK 02 MERGE, LANE, 000512.10; CP512.08 E-5108: MCP63</t>
  </si>
  <si>
    <t>000512.10</t>
  </si>
  <si>
    <t>30SAT4000512.10</t>
  </si>
  <si>
    <t>512.11</t>
  </si>
  <si>
    <t>MRG.02.LN.000512.11</t>
  </si>
  <si>
    <t>MERGE, PACK 02 MERGE, LANE, 000512.11; CP512.14 E-5106: MCP63</t>
  </si>
  <si>
    <t>000512.11</t>
  </si>
  <si>
    <t>30SAT4000512.11</t>
  </si>
  <si>
    <t>512.12</t>
  </si>
  <si>
    <t>MRG.02.LN.000512.12</t>
  </si>
  <si>
    <t>MERGE, PACK 02 MERGE, LANE, 000512.12; CP512.14 E-5106: MCP63</t>
  </si>
  <si>
    <t>000512.12</t>
  </si>
  <si>
    <t>30SAT4000512.12</t>
  </si>
  <si>
    <t>512.13</t>
  </si>
  <si>
    <t>MRG.02.LN.000512.13</t>
  </si>
  <si>
    <t>MERGE, PACK 02 MERGE, LANE, 000512.13; CP512.14 E-5106: MCP63</t>
  </si>
  <si>
    <t>000512.13</t>
  </si>
  <si>
    <t>30SAT4000512.13</t>
  </si>
  <si>
    <t>MRG.02.LN.000512.14</t>
  </si>
  <si>
    <t>MERGE, PACK 02 MERGE, LANE, 000512.14; CP512.14 E-5106: MCP63</t>
  </si>
  <si>
    <t>000512.14</t>
  </si>
  <si>
    <t>30SAT4000512.14</t>
  </si>
  <si>
    <t>512.15</t>
  </si>
  <si>
    <t>MRG.02.LN.000512.15</t>
  </si>
  <si>
    <t>MERGE, PACK 02 MERGE, LANE, 000512.15; CP512.14 E-5106: MCP63</t>
  </si>
  <si>
    <t>000512.15</t>
  </si>
  <si>
    <t>30SAT4000512.15</t>
  </si>
  <si>
    <t>512.16</t>
  </si>
  <si>
    <t>MRG.02.LN.000512.16</t>
  </si>
  <si>
    <t>MERGE, PACK 02 MERGE, LANE, 000512.16; CP512.14 E-5106: MCP63</t>
  </si>
  <si>
    <t>000512.16</t>
  </si>
  <si>
    <t>30SAT4000512.16</t>
  </si>
  <si>
    <t>512.17</t>
  </si>
  <si>
    <t>MRG.02.LN.000512.17</t>
  </si>
  <si>
    <t>MERGE, PACK 02 MERGE, LANE, 000512.17; CP512.14 E-5106: MCP63</t>
  </si>
  <si>
    <t>000512.17</t>
  </si>
  <si>
    <t>30SAT4000512.17</t>
  </si>
  <si>
    <t>512.18</t>
  </si>
  <si>
    <t>MRG.02.LN.000512.18</t>
  </si>
  <si>
    <t>MERGE, PACK 02 MERGE, LANE, 000512.18; CP512.14 E-5106: MCP63</t>
  </si>
  <si>
    <t>000512.18</t>
  </si>
  <si>
    <t>30SAT4000512.18</t>
  </si>
  <si>
    <t>512.19</t>
  </si>
  <si>
    <t>MRG.02.LN.000512.19</t>
  </si>
  <si>
    <t>MERGE, PACK 02 MERGE, LANE, 000512.19; CP512.14 E-5106: MCP63</t>
  </si>
  <si>
    <t>000512.19</t>
  </si>
  <si>
    <t>30SAT4000512.19</t>
  </si>
  <si>
    <t>512.20</t>
  </si>
  <si>
    <t>MRG.02.LN.000512.20</t>
  </si>
  <si>
    <t>MERGE, PACK 02 MERGE, LANE, 000512.20; CP512.14 E-5106: MCP63</t>
  </si>
  <si>
    <t>000512.20</t>
  </si>
  <si>
    <t>30SAT4000512.20</t>
  </si>
  <si>
    <t>514.01</t>
  </si>
  <si>
    <t>MRG.02.LN.000514.01</t>
  </si>
  <si>
    <t>MERGE, PACK 02 MERGE, LANE, 000514.01; CP514.04 E-5104: MCP63</t>
  </si>
  <si>
    <t>000514.01</t>
  </si>
  <si>
    <t>30SAT4000514.01</t>
  </si>
  <si>
    <t>514.02</t>
  </si>
  <si>
    <t>MRG.02.LN.000514.02</t>
  </si>
  <si>
    <t>MERGE, PACK 02 MERGE, LANE, 000514.02; CP514.04 E-5104: MCP63</t>
  </si>
  <si>
    <t>000514.02</t>
  </si>
  <si>
    <t>30SAT4000514.02</t>
  </si>
  <si>
    <t>514.03</t>
  </si>
  <si>
    <t>MRG.02.TA.000514.03</t>
  </si>
  <si>
    <t>MERGE, PACK 02 MERGE, TAKEAWAY, 000514.03; CP514.04 E-5104: MCP63</t>
  </si>
  <si>
    <t>000514.03</t>
  </si>
  <si>
    <t>30SAT4000514.03</t>
  </si>
  <si>
    <t>MRG.02.TA.000514.04</t>
  </si>
  <si>
    <t>MERGE, PACK 02 MERGE, TAKEAWAY, 000514.04; CP514.04 E-5104: MCP63</t>
  </si>
  <si>
    <t>000514.04</t>
  </si>
  <si>
    <t>30SAT4000514.04</t>
  </si>
  <si>
    <t>514.05</t>
  </si>
  <si>
    <t>MRG.02.TA.000514.05</t>
  </si>
  <si>
    <t>MERGE, PACK 02 MERGE, TAKEAWAY, 000514.05; CP514.04 E-5104: MCP63</t>
  </si>
  <si>
    <t>000514.05</t>
  </si>
  <si>
    <t>30SAT4000514.05</t>
  </si>
  <si>
    <t>514.06</t>
  </si>
  <si>
    <t>MRG.02.TA.000514.06</t>
  </si>
  <si>
    <t>MERGE, PACK 02 MERGE, TAKEAWAY, 000514.06; CP514.04 E-5104: MCP63</t>
  </si>
  <si>
    <t>000514.06</t>
  </si>
  <si>
    <t>30SAT4000514.06</t>
  </si>
  <si>
    <t>514.07</t>
  </si>
  <si>
    <t>MRG.02.TA.000514.07</t>
  </si>
  <si>
    <t>MERGE, PACK 02 MERGE, TAKEAWAY, 000514.07; CP514.04 E-5104: MCP63</t>
  </si>
  <si>
    <t>000514.07</t>
  </si>
  <si>
    <t>30SAT4000514.07</t>
  </si>
  <si>
    <t>514.08</t>
  </si>
  <si>
    <t>MRG.02.TA.000514.08</t>
  </si>
  <si>
    <t>MERGE, PACK 02 MERGE, TAKEAWAY, 000514.08; CP514.04 E-5104: MCP63</t>
  </si>
  <si>
    <t>000514.08</t>
  </si>
  <si>
    <t>30SAT4000514.08</t>
  </si>
  <si>
    <t>514.09</t>
  </si>
  <si>
    <t>MRG.02.TA.000514.09</t>
  </si>
  <si>
    <t>MERGE, PACK 02 MERGE, TAKEAWAY, 000514.09; CP514.04 E-5104: MCP63</t>
  </si>
  <si>
    <t>000514.09</t>
  </si>
  <si>
    <t>30SAT4000514.09</t>
  </si>
  <si>
    <t>514.10</t>
  </si>
  <si>
    <t>E-5100</t>
  </si>
  <si>
    <t>MRG.02.TA.000514.10</t>
  </si>
  <si>
    <t>MERGE, PACK 02 MERGE, TAKEAWAY, 000514.10; CP514.1 E-5100: MCP63</t>
  </si>
  <si>
    <t>000514.10</t>
  </si>
  <si>
    <t>30SAT4000514.10</t>
  </si>
  <si>
    <t>514.11</t>
  </si>
  <si>
    <t>MRG.02.TA.000514.11</t>
  </si>
  <si>
    <t>MERGE, PACK 02 MERGE, TAKEAWAY, 000514.11; CP514.1 E-5100: MCP63</t>
  </si>
  <si>
    <t>000514.11</t>
  </si>
  <si>
    <t>30SAT4000514.11</t>
  </si>
  <si>
    <t>514.12</t>
  </si>
  <si>
    <t>MRG.02.TA.000514.12</t>
  </si>
  <si>
    <t>MERGE, PACK 02 MERGE, TAKEAWAY, 000514.12; CP514.1 E-5100: MCP63</t>
  </si>
  <si>
    <t>000514.12</t>
  </si>
  <si>
    <t>30SAT4000514.12</t>
  </si>
  <si>
    <t>514.13</t>
  </si>
  <si>
    <t>MRG.02.TA.000514.13</t>
  </si>
  <si>
    <t>MERGE, PACK 02 MERGE, TAKEAWAY, 000514.13; CP514.1 E-5100: MCP63</t>
  </si>
  <si>
    <t>000514.13</t>
  </si>
  <si>
    <t>30SAT4000514.13</t>
  </si>
  <si>
    <t>515.01</t>
  </si>
  <si>
    <t>E-5021</t>
  </si>
  <si>
    <t>515.04</t>
  </si>
  <si>
    <t>0.02 cal/cm²</t>
  </si>
  <si>
    <t>CC-103-2</t>
  </si>
  <si>
    <t>SLAM.02.000515.01</t>
  </si>
  <si>
    <t>SHP.POPUP.2; SLAM 02; ROLLER ACCUMULATOR CONV; 000515.01; CP515.04 E5021:CC103-2</t>
  </si>
  <si>
    <t>000515.01</t>
  </si>
  <si>
    <t>30SAT4000515.01</t>
  </si>
  <si>
    <t>515.02</t>
  </si>
  <si>
    <t>SLAM.02.000515.02</t>
  </si>
  <si>
    <t>SHP.POPUP.2; SLAM 02; ROLLER ACCUMULATOR CONV; 000515.02; E515.04 E-5021:CC103-2</t>
  </si>
  <si>
    <t>000515.02</t>
  </si>
  <si>
    <t>30SAT4000515.02</t>
  </si>
  <si>
    <t>515.03</t>
  </si>
  <si>
    <t>SLAM.02.000515.03</t>
  </si>
  <si>
    <t>SLAM, 02, 000515.03; CP515.04; UPACK2; E-5021: CC103-2</t>
  </si>
  <si>
    <t>000515.03</t>
  </si>
  <si>
    <t>30SAT4000515.03</t>
  </si>
  <si>
    <t>SLAM.02.000515.04</t>
  </si>
  <si>
    <t>SHP.POPUP.2; SLAM 02; ROLLER ACCUMULATOR CONV; 000515.04; CP515.04 E5021:CC103-2</t>
  </si>
  <si>
    <t>000515.04</t>
  </si>
  <si>
    <t>30SAT4000515.04</t>
  </si>
  <si>
    <t>515.05</t>
  </si>
  <si>
    <t>SLAM.02.000515.05</t>
  </si>
  <si>
    <t>SHP.POPUP.2; SLAM 02; ROLLER ACCUMULATOR CONV; 000515.05; CP515.04 E5021:CC103-2</t>
  </si>
  <si>
    <t>000515.05</t>
  </si>
  <si>
    <t>30SAT4000515.05</t>
  </si>
  <si>
    <t>515.06</t>
  </si>
  <si>
    <t>SLAM.02.PTR1</t>
  </si>
  <si>
    <t>PRINT APPLY MACHINE; 000515.06; UPACK2; CP515.04 E-5021: CC103-2</t>
  </si>
  <si>
    <t>000515.06</t>
  </si>
  <si>
    <t>05 - PRINTER</t>
  </si>
  <si>
    <t>30SAT4000515.06</t>
  </si>
  <si>
    <t>515.07</t>
  </si>
  <si>
    <t>SLAM.02.PTR2</t>
  </si>
  <si>
    <t>PRINT APPLY MACHINE; 000515.07; UPACK2; CP515.04 E-5021: CC103-2</t>
  </si>
  <si>
    <t>000515.07</t>
  </si>
  <si>
    <t>30SAT4000515.07</t>
  </si>
  <si>
    <t>515.08</t>
  </si>
  <si>
    <t>SLAM.02.IND</t>
  </si>
  <si>
    <t>SLAM, 02, 06 - VERIFICATION, SHP.POPUP.2; ROLLER ACCUM CONV; 000515.08; CC103-2</t>
  </si>
  <si>
    <t>IND 000515.08</t>
  </si>
  <si>
    <t>30SAT4000515.08</t>
  </si>
  <si>
    <t>515.09</t>
  </si>
  <si>
    <t>SLAM.02.000515.09</t>
  </si>
  <si>
    <t>SHP.POPUP.2; SLAM 02; ROLLER ACCUMULATOR CONV; 000515.09; E-5021: CC103-2</t>
  </si>
  <si>
    <t>000515.09</t>
  </si>
  <si>
    <t>30SAT4000515.09</t>
  </si>
  <si>
    <t>515.10</t>
  </si>
  <si>
    <t>SLAM.02.000515.10</t>
  </si>
  <si>
    <t>SHP.POPUP.2; SLAM 02; ROLLER ACCUMULATOR CONV; 000515.10; E-5021: CC103-2</t>
  </si>
  <si>
    <t>000515.10</t>
  </si>
  <si>
    <t>30SAT4000515.10</t>
  </si>
  <si>
    <t>515.11</t>
  </si>
  <si>
    <t>SLAM.02.TKWY1.000515.11</t>
  </si>
  <si>
    <t>SLAM, 02, 07 - KICK-OUT, 000515.11; UPACK2; CP515.04 E-5021: CC103-2</t>
  </si>
  <si>
    <t>000515.11</t>
  </si>
  <si>
    <t>30SAT4000515.11</t>
  </si>
  <si>
    <t>516.01</t>
  </si>
  <si>
    <t>E-5105</t>
  </si>
  <si>
    <t>516.07</t>
  </si>
  <si>
    <t>SHP.SRT02.IF.000516.01</t>
  </si>
  <si>
    <t>SHIPPING, SORTER SHIP 02, INFEED, 000516.01; UPACK2; CP516.07 E-5105: MCP63</t>
  </si>
  <si>
    <t>000516.01</t>
  </si>
  <si>
    <t>30SAT4000516.01</t>
  </si>
  <si>
    <t>516.02</t>
  </si>
  <si>
    <t>SHP.SRT02.IF.000516.02</t>
  </si>
  <si>
    <t>SHIPPING, SORTER SHIP 02, INFEED, 000516.02; UPACK2; CP516.07 E-5105: MCP63</t>
  </si>
  <si>
    <t>000516.02</t>
  </si>
  <si>
    <t>30SAT4000516.02</t>
  </si>
  <si>
    <t>516.03</t>
  </si>
  <si>
    <t>SHP.SRT02.IF.000516.03</t>
  </si>
  <si>
    <t>SHIPPING, SORTER SHIP 02, INFEED, 000516.03; UPACK2; CP516.07 E-5105: MCP63</t>
  </si>
  <si>
    <t>000516.03</t>
  </si>
  <si>
    <t>30SAT4000516.03</t>
  </si>
  <si>
    <t>516.04</t>
  </si>
  <si>
    <t>SHP.SRT02.IF.000516.04</t>
  </si>
  <si>
    <t>SHIPPING, SORTER SHIP 02, INFEED, 000516.04; UPACK2; CP516.07 E-5105: MCP63</t>
  </si>
  <si>
    <t>000516.04</t>
  </si>
  <si>
    <t>30SAT4000516.04</t>
  </si>
  <si>
    <t>516.05</t>
  </si>
  <si>
    <t>SHP.SRT02.IF.000516.05</t>
  </si>
  <si>
    <t>SHIPPING, SORTER SHIP 02, INFEED, 000516.05; UPACK2; CP516.07 E-5105: MCP63</t>
  </si>
  <si>
    <t>000516.05</t>
  </si>
  <si>
    <t>30SAT4000516.05</t>
  </si>
  <si>
    <t>516.06</t>
  </si>
  <si>
    <t>SHP.SRT02.IF.000516.06</t>
  </si>
  <si>
    <t>SHIPPING, SORTER SHIP 02, INFEED, 000516.06; UPACK2; CP516.07 E-5105: MCP63</t>
  </si>
  <si>
    <t>000516.06</t>
  </si>
  <si>
    <t>30SAT4000516.06</t>
  </si>
  <si>
    <t>SHP.SRT02.IF.000516.07</t>
  </si>
  <si>
    <t>SHIPPING, SORTER SHIP 02, INFEED, 000516.07; UPACK2; CP516.07 E-5105: MCP63</t>
  </si>
  <si>
    <t>000516.07</t>
  </si>
  <si>
    <t>30SAT4000516.07</t>
  </si>
  <si>
    <t>516.08</t>
  </si>
  <si>
    <t>SHP.SRT02.IF.000516.08</t>
  </si>
  <si>
    <t>SHIPPING, SORTER SHIP 02, INFEED, 000516.08; UPACK2; CP516.07 E-5105: MCP63</t>
  </si>
  <si>
    <t>000516.08</t>
  </si>
  <si>
    <t>30SAT4000516.08</t>
  </si>
  <si>
    <t>516.09</t>
  </si>
  <si>
    <t>SHP.SRT02.IF.000516.09</t>
  </si>
  <si>
    <t>SHIPPING, SORTER SHIP 02, INFEED, 000516.09; UPACK2; CP516.07 E-5105: MCP63</t>
  </si>
  <si>
    <t>000516.09</t>
  </si>
  <si>
    <t>30SAT4000516.09</t>
  </si>
  <si>
    <t>516.10</t>
  </si>
  <si>
    <t>SHP.SRT02.IF.000516.10</t>
  </si>
  <si>
    <t>SHIPPING, SORTER SHIP 02, INFEED, 000516.10; UPACK2; CP516.07 E-5105: MCP63</t>
  </si>
  <si>
    <t>000516.10</t>
  </si>
  <si>
    <t>30SAT4000516.10</t>
  </si>
  <si>
    <t>516.11</t>
  </si>
  <si>
    <t>SHP.SRT02.IF.000516.11</t>
  </si>
  <si>
    <t>SHIPPING, SORTER SHIP 02, INFEED, 000516.11; UPACK2; CP516.07 E-5105: MCP63</t>
  </si>
  <si>
    <t>000516.11</t>
  </si>
  <si>
    <t>30SAT4000516.11</t>
  </si>
  <si>
    <t>516.12</t>
  </si>
  <si>
    <t>SHP.SRT02.IF.000516.12</t>
  </si>
  <si>
    <t>SHIPPING, SORTER SHIP 02, INFEED, 000516.12; UPACK2; CP516.07 E-5105: MCP63</t>
  </si>
  <si>
    <t>000516.12</t>
  </si>
  <si>
    <t>30SAT4000516.12</t>
  </si>
  <si>
    <t>516.13</t>
  </si>
  <si>
    <t>SHP.SRT02.IF.000516.13</t>
  </si>
  <si>
    <t>SHIPPING, SORTER SHIP 02, INFEED, 000516.13; UPACK2; CP516.07 E-5105: MCP63</t>
  </si>
  <si>
    <t>000516.13</t>
  </si>
  <si>
    <t>30SAT4000516.13</t>
  </si>
  <si>
    <t>516.14</t>
  </si>
  <si>
    <t>SHP.SRT02.IF.000516.14</t>
  </si>
  <si>
    <t>SHIPPING, SORTER SHIP 02, INFEED, 000516.14; UPACK2; CP516.07 E-5105: MCP63</t>
  </si>
  <si>
    <t>000516.14</t>
  </si>
  <si>
    <t>30SAT4000516.14</t>
  </si>
  <si>
    <t>516.15</t>
  </si>
  <si>
    <t>SHP.SRT02.IF.000516.15</t>
  </si>
  <si>
    <t xml:space="preserve">SHIPPING, SORTER SHIP 02, INFEED, 000516.15; UPACK2; CP516.07 E-5105: MCP63 </t>
  </si>
  <si>
    <t>000516.15</t>
  </si>
  <si>
    <t>30SAT4000516.15</t>
  </si>
  <si>
    <t>518.01</t>
  </si>
  <si>
    <t>SLAM.02.000518.01</t>
  </si>
  <si>
    <t>SLAM, 02, 000518.01; MCP63</t>
  </si>
  <si>
    <t>000518.01</t>
  </si>
  <si>
    <t>30SAT4000518.01</t>
  </si>
  <si>
    <t>548.01</t>
  </si>
  <si>
    <t>E-5107</t>
  </si>
  <si>
    <t>548.03</t>
  </si>
  <si>
    <t>SHP.SRT02.IF.000548.01</t>
  </si>
  <si>
    <t>SHIPPING, SORTER SHIP 02, INFEED, 000548.01; UPACK2; CP548.03 E-5107: MCP63</t>
  </si>
  <si>
    <t>000548.01</t>
  </si>
  <si>
    <t>30SAT4000548.01</t>
  </si>
  <si>
    <t>548.02</t>
  </si>
  <si>
    <t>SHP.SRT02.IF.000548.02</t>
  </si>
  <si>
    <t>SHIPPING, SORTER SHIP 02, INFEED, 000548.02; UPACK2; CP548.03 E-5107: MCP63</t>
  </si>
  <si>
    <t>000548.02</t>
  </si>
  <si>
    <t>30SAT4000548.02</t>
  </si>
  <si>
    <t>SHP.SRT02.IF.000548.03</t>
  </si>
  <si>
    <t>SHIPPING, SORTER SHIP 02, INFEED, 000548.03; UPACK2; CP548.03 E-5107: MCP63</t>
  </si>
  <si>
    <t>000548.03</t>
  </si>
  <si>
    <t>30SAT4000548.03</t>
  </si>
  <si>
    <t>548.04</t>
  </si>
  <si>
    <t>SHP.SRT02.IF.000548.04</t>
  </si>
  <si>
    <t>SHIPPING, SORTER SHIP 02, INFEED, 000548.04; UPACK2; CP548.03 E-5107: MCP63</t>
  </si>
  <si>
    <t>000548.04</t>
  </si>
  <si>
    <t>30SAT4000548.04</t>
  </si>
  <si>
    <t>548.05</t>
  </si>
  <si>
    <t>SHP.SRT02.IF.000548.05</t>
  </si>
  <si>
    <t>SHIPPING, SORTER SHIP 02, INFEED, 000548.05; UPACK2; CP548.03 E-5107: MCP63</t>
  </si>
  <si>
    <t>000548.05</t>
  </si>
  <si>
    <t>30SAT4000548.05</t>
  </si>
  <si>
    <t>548.06</t>
  </si>
  <si>
    <t>SHP.SRT02.IF.000548.06</t>
  </si>
  <si>
    <t>SHIPPING, SORTER SHIP 02, INFEED, 000548.06; UPACK2; CP548.03 E-5107: MCP63</t>
  </si>
  <si>
    <t>000548.06</t>
  </si>
  <si>
    <t>30SAT4000548.06</t>
  </si>
  <si>
    <t>550</t>
  </si>
  <si>
    <t>E-5089</t>
  </si>
  <si>
    <t>SHP.SRT02.IF.000550</t>
  </si>
  <si>
    <t>SHIPPING, SORTER SHIP 02, INFEED, 000550; UPACK2; CP548.05 E-5089: MCP63</t>
  </si>
  <si>
    <t>000550</t>
  </si>
  <si>
    <t>30SAT4000550</t>
  </si>
  <si>
    <t>552</t>
  </si>
  <si>
    <t>E-5086</t>
  </si>
  <si>
    <t>SHP.SRT02.IF.000552</t>
  </si>
  <si>
    <t>SHIPPING, SORTER SHIP 02, INFEED, 000552; UPACK2; CP552 E-5086; MCP63</t>
  </si>
  <si>
    <t>000552</t>
  </si>
  <si>
    <t>30SAT4000552</t>
  </si>
  <si>
    <t>553</t>
  </si>
  <si>
    <t>E-5087</t>
  </si>
  <si>
    <t>SHP.SRT02.IF.000553</t>
  </si>
  <si>
    <t>SHIPPING, SORTER SHIP 02, INFEED, 000553; UPACK2; CP552 E-5087: MCP63</t>
  </si>
  <si>
    <t>000553</t>
  </si>
  <si>
    <t>30SAT4000553</t>
  </si>
  <si>
    <t>554</t>
  </si>
  <si>
    <t>E-5090</t>
  </si>
  <si>
    <t>SHP.SRT02.LN.000554</t>
  </si>
  <si>
    <t>SHIPPING, SORTER SHIP 02, LANE, 000554; UPACK2; CP554 E-5090: MCP63</t>
  </si>
  <si>
    <t>000554</t>
  </si>
  <si>
    <t>30SAT4000554</t>
  </si>
  <si>
    <t>556</t>
  </si>
  <si>
    <t>E-5095</t>
  </si>
  <si>
    <t>570.02</t>
  </si>
  <si>
    <t>SHP.SRT02.LN.000556</t>
  </si>
  <si>
    <t>SHIPPING, SORTER SHIP 02, LANE, 000556; UPACK2; CP570.02 E-5095: MCP63</t>
  </si>
  <si>
    <t>000556</t>
  </si>
  <si>
    <t>30SAT4000556</t>
  </si>
  <si>
    <t>560A</t>
  </si>
  <si>
    <t>E-5088</t>
  </si>
  <si>
    <t>SHP.01.LN01.00560A</t>
  </si>
  <si>
    <t>SHIPPING, SHIPPING 01, LINE 01, 00560A; UPACK2; CP560A E-5088: MCP63</t>
  </si>
  <si>
    <t>00560A</t>
  </si>
  <si>
    <t>30SAT400560A</t>
  </si>
  <si>
    <t>560B</t>
  </si>
  <si>
    <t>SHP.02.LN02.00560B</t>
  </si>
  <si>
    <t>SHIPPING, SHIPPING 02, LINE 02, 00560B; UPACK2; CP560B E-5089: MCP63</t>
  </si>
  <si>
    <t>00560B</t>
  </si>
  <si>
    <t>30SAT400560B</t>
  </si>
  <si>
    <t>560C</t>
  </si>
  <si>
    <t>E-5091</t>
  </si>
  <si>
    <t>SHP.02.LN03.00560C</t>
  </si>
  <si>
    <t>SHIPPING, SHIPPING 02, LINE 03, 00560C; UPACK2 CP560C E-5091: MCP63</t>
  </si>
  <si>
    <t>00560C</t>
  </si>
  <si>
    <t>30SAT400560C</t>
  </si>
  <si>
    <t>560D</t>
  </si>
  <si>
    <t>E-5092</t>
  </si>
  <si>
    <t>SHP.02.LN04.00560D</t>
  </si>
  <si>
    <t>SHIPPING, SHIPPING 02, LINE 04, 00560D; UPACK 2; CP560D E-5092: MCP63</t>
  </si>
  <si>
    <t>00560D</t>
  </si>
  <si>
    <t>30SAT400560D</t>
  </si>
  <si>
    <t>560E</t>
  </si>
  <si>
    <t>E-5093</t>
  </si>
  <si>
    <t>SHP.SRT02.TA.00560E</t>
  </si>
  <si>
    <t>SHIPPING, SORTER SHIP 02, SHP 02 TAKEAWAY, 00560E; UPACK2; CP560E E-5093:  MCP63</t>
  </si>
  <si>
    <t>00560E</t>
  </si>
  <si>
    <t>30SAT400560E</t>
  </si>
  <si>
    <t>564A</t>
  </si>
  <si>
    <t>SHP.01.LN01.00564A</t>
  </si>
  <si>
    <t>SHIPPING, SHIPPING 01, LINE 01, 00564A; MCP63</t>
  </si>
  <si>
    <t>00564A</t>
  </si>
  <si>
    <t>30SAT400564A</t>
  </si>
  <si>
    <t>564B</t>
  </si>
  <si>
    <t>SHP.02.LN02.00564B</t>
  </si>
  <si>
    <t>SHIPPING, SHIPPING 02, LINE 02, 00564B; MCP63</t>
  </si>
  <si>
    <t>00564B</t>
  </si>
  <si>
    <t>30SAT400564B</t>
  </si>
  <si>
    <t>564C</t>
  </si>
  <si>
    <t>SHP.02.LN03.00564C</t>
  </si>
  <si>
    <t>SHIPPING, SHIPPING 02, LINE 03, 00564C; MCP63</t>
  </si>
  <si>
    <t>00564C</t>
  </si>
  <si>
    <t>30SAT400564C</t>
  </si>
  <si>
    <t>564D</t>
  </si>
  <si>
    <t>SHP.02.LN04.00564D</t>
  </si>
  <si>
    <t>SHIPPING, SHIPPING 02, LINE 04, 00564D; MCP63</t>
  </si>
  <si>
    <t>00564D</t>
  </si>
  <si>
    <t>30SAT400564D</t>
  </si>
  <si>
    <t>570.01</t>
  </si>
  <si>
    <t>E-5096</t>
  </si>
  <si>
    <t>570.08</t>
  </si>
  <si>
    <t>SHP.SRT02.RCRC.000570.01</t>
  </si>
  <si>
    <t>SHIPPING, SORTER SHIP 02, RECIRCULATION, 000570.01; UPACK2; CP570.08 E5096:MCP63</t>
  </si>
  <si>
    <t>000570.01</t>
  </si>
  <si>
    <t>30SAT4000570.01</t>
  </si>
  <si>
    <t>SHP.SRT02.RCRC.000570.02</t>
  </si>
  <si>
    <t>SHIPPING, SORTER SHIP 02, RECIRCULATION, 000570.02; UPACK2; CP570.08 E5096:MCP63</t>
  </si>
  <si>
    <t>000570.02</t>
  </si>
  <si>
    <t>30SAT4000570.02</t>
  </si>
  <si>
    <t>570.03</t>
  </si>
  <si>
    <t>SHP.SRT02.RCRC.000570.03</t>
  </si>
  <si>
    <t>SHIPPING, SORTER SHIP 02, RECIRCULATION, 000570.03; UPACK2; CP570.08 E5096:MCP63</t>
  </si>
  <si>
    <t>000570.03</t>
  </si>
  <si>
    <t>30SAT4000570.03</t>
  </si>
  <si>
    <t>570.04</t>
  </si>
  <si>
    <t>SHP.SRT02.RCRC.000570.04</t>
  </si>
  <si>
    <t>SHIPPING, SORTER SHIP 02, RECIRCULATION, 000570.04; UPACK2; CP570.08 E5096:MCP63</t>
  </si>
  <si>
    <t>000570.04</t>
  </si>
  <si>
    <t>30SAT4000570.04</t>
  </si>
  <si>
    <t>570.05</t>
  </si>
  <si>
    <t>SHP.SRT02.RCRC.000570.05</t>
  </si>
  <si>
    <t>SHIPPING, SORTER SHIP 02, RECIRCULATION, 000570.05; UPACK2; CP570.08 E5096:MCP63</t>
  </si>
  <si>
    <t>000570.05</t>
  </si>
  <si>
    <t>30SAT4000570.05</t>
  </si>
  <si>
    <t>570.06</t>
  </si>
  <si>
    <t>SHP.SRT02.RCRC.000570.06</t>
  </si>
  <si>
    <t xml:space="preserve">SHIPPING, SORTER SHIP 02, RECIRCULATION, 000570.06; CP570.08 E-5096: MCP63 </t>
  </si>
  <si>
    <t>000570.06</t>
  </si>
  <si>
    <t>30SAT4000570.06</t>
  </si>
  <si>
    <t>570.07</t>
  </si>
  <si>
    <t>SHP.SRT02.RCRC.000570.07</t>
  </si>
  <si>
    <t>SHIPPING, SORTER SHIP 02, RECIRCULATION, 000570.07; CP570.08 E-5096: MCP63</t>
  </si>
  <si>
    <t>000570.07</t>
  </si>
  <si>
    <t>30SAT4000570.07</t>
  </si>
  <si>
    <t>SHP.SRT02.RCRC.000570.08</t>
  </si>
  <si>
    <t>SHIPPING, SORTER SHIP 02, RECIRCULATION, 000570.08; CP570.08 E-5096: MCP63</t>
  </si>
  <si>
    <t>000570.08</t>
  </si>
  <si>
    <t>30SAT4000570.08</t>
  </si>
  <si>
    <t>570.09</t>
  </si>
  <si>
    <t>SHP.SRT02.RCRC.000570.09</t>
  </si>
  <si>
    <t>SHIPPING, SORTER SHIP 02, RECIRCULATION, 000570.09; CP570.08 E-5096: MCP63</t>
  </si>
  <si>
    <t>000570.09</t>
  </si>
  <si>
    <t>30SAT4000570.09</t>
  </si>
  <si>
    <t>570.10</t>
  </si>
  <si>
    <t>SHP.SRT02.RCRC.000570.10</t>
  </si>
  <si>
    <t>SHIPPING, SORTER SHIP 02, RECIRCULATION, 000570.10; CP570.08 E-5096: MCP63</t>
  </si>
  <si>
    <t>000570.10</t>
  </si>
  <si>
    <t>30SAT4000570.10</t>
  </si>
  <si>
    <t>570.11</t>
  </si>
  <si>
    <t>SHP.SRT02.RCRC.000570.11</t>
  </si>
  <si>
    <t>SHIPPING, SORTER SHIP 02, RECIRCULATION, 000570.11; CP570.08 E-5096: MCP63</t>
  </si>
  <si>
    <t>000570.11</t>
  </si>
  <si>
    <t>30SAT4000570.11</t>
  </si>
  <si>
    <t>570.12</t>
  </si>
  <si>
    <t>SHP.SRT02.RCRC.000570.12</t>
  </si>
  <si>
    <t>SHIPPING, SORTER SHIP 02, RECIRCULATION, 000570.12; CP570.08 E-5096: MCP63</t>
  </si>
  <si>
    <t>000570.12</t>
  </si>
  <si>
    <t>30SAT4000570.12</t>
  </si>
  <si>
    <t>570.13</t>
  </si>
  <si>
    <t>E-5097</t>
  </si>
  <si>
    <t>SHP.SRT02.RCRC.000570.13</t>
  </si>
  <si>
    <t>SHIPPING, SORTER SHIP 02, RECIRCULATION, 000570.13; CP570.13 E-5097: MCP63</t>
  </si>
  <si>
    <t>000570.13</t>
  </si>
  <si>
    <t>30SAT4000570.13</t>
  </si>
  <si>
    <t>570.14</t>
  </si>
  <si>
    <t>SHP.SRT02.RCRC.000570.14</t>
  </si>
  <si>
    <t>SHIPPING, SORTER SHIP 02, RECIRCULATION, 000570.14; CP570.13 E-5097: MCP63</t>
  </si>
  <si>
    <t>000570.14</t>
  </si>
  <si>
    <t>30SAT4000570.14</t>
  </si>
  <si>
    <t>570.15</t>
  </si>
  <si>
    <t>SHP.SRT02.RCRC.000570.15</t>
  </si>
  <si>
    <t>SHIPPING, SORTER SHIP 02, RECIRCULATION, 000570.15; CP570.13 E-5097: MCP63</t>
  </si>
  <si>
    <t>000570.15</t>
  </si>
  <si>
    <t>30SAT4000570.15</t>
  </si>
  <si>
    <t>602A</t>
  </si>
  <si>
    <t>UPack3</t>
  </si>
  <si>
    <t>E-5123</t>
  </si>
  <si>
    <t>MCP-64</t>
  </si>
  <si>
    <t>MNL.PCK.03.LN03.00602A</t>
  </si>
  <si>
    <t>MANUAL PACKING, PACK 03, LINE 03, 00602A; UPACK3; CP602A E-5123: MCP64</t>
  </si>
  <si>
    <t>00602A</t>
  </si>
  <si>
    <t>602B</t>
  </si>
  <si>
    <t>E-5124</t>
  </si>
  <si>
    <t>MNL.PCK.03.LN02.00602B</t>
  </si>
  <si>
    <t>MANUAL PACKING, PACK 03, LINE 02, 00602B; UPACK3; CP602B E-5124: MCP64</t>
  </si>
  <si>
    <t>00602B</t>
  </si>
  <si>
    <t>602C</t>
  </si>
  <si>
    <t>E-5125</t>
  </si>
  <si>
    <t>MNL.PCK.03.LN01.00602C</t>
  </si>
  <si>
    <t>MANUAL PACKING, PACK 03, LINE 01, 00602C; UPACK3; CP602C E-5125: MCP64</t>
  </si>
  <si>
    <t>00602C</t>
  </si>
  <si>
    <t>608A.01</t>
  </si>
  <si>
    <t>E-5127</t>
  </si>
  <si>
    <t>648.11</t>
  </si>
  <si>
    <t>MNL.PCK.03.LN03.00608A.01</t>
  </si>
  <si>
    <t>MANUAL PACKING, PACK 03, LINE 03, 00608A.01; UPACK3; CP648.11 E-5127: MCP64</t>
  </si>
  <si>
    <t>00608A.01</t>
  </si>
  <si>
    <t>608B.01</t>
  </si>
  <si>
    <t>E-5128</t>
  </si>
  <si>
    <t>648.20</t>
  </si>
  <si>
    <t>MNL.PCK.03.LN02.00608B.01</t>
  </si>
  <si>
    <t>MANUAL PACKING, PACK 03, LINE 02, 00608B.01; UPACK3; CP648.2 E-5128: MCP64</t>
  </si>
  <si>
    <t>00608B.01</t>
  </si>
  <si>
    <t>608C.01</t>
  </si>
  <si>
    <t>MNL.PCK.03.LN01.00608C.01</t>
  </si>
  <si>
    <t>MANUAL PACKING, PACK 03, LINE 01, 00608C.01; UPACK3; CP648.2 E-5128: MCP64</t>
  </si>
  <si>
    <t>00608C.01</t>
  </si>
  <si>
    <t>610A</t>
  </si>
  <si>
    <t>SHP.SRT03.IF03.00610A</t>
  </si>
  <si>
    <t>SHIPPING, SORTER SHIP 03, INFEED FROM PACK LINE3, 00610A; MCP64</t>
  </si>
  <si>
    <t>00610A</t>
  </si>
  <si>
    <t>30SAT400610A</t>
  </si>
  <si>
    <t>610B</t>
  </si>
  <si>
    <t>SHP.SRT03.IF02.00610B</t>
  </si>
  <si>
    <t>SHIPPING, SORTER SHIP 03, INFEED FROM PACK LINE2, 00610B; MCP64</t>
  </si>
  <si>
    <t>00610B</t>
  </si>
  <si>
    <t>30SAT400610B</t>
  </si>
  <si>
    <t>610C</t>
  </si>
  <si>
    <t>SHP.SRT03.IF01.00610C</t>
  </si>
  <si>
    <t>SHIPPING, SORTER SHIP 03, INFEED FROM PACK LINE1, 00610C; MCP64</t>
  </si>
  <si>
    <t>00610C</t>
  </si>
  <si>
    <t>30SAT400610C</t>
  </si>
  <si>
    <t>648.01</t>
  </si>
  <si>
    <t>SHP.SRT03.RCRC.000648.01</t>
  </si>
  <si>
    <t>SHIPPING, SORTER SHIP 03, RECIRCULATION, 000648.01; UPACK3; CP648.11 E5127:MCP64</t>
  </si>
  <si>
    <t>000648.01</t>
  </si>
  <si>
    <t>30SAT4000648.01</t>
  </si>
  <si>
    <t>648.02</t>
  </si>
  <si>
    <t>SHP.SRT03.RCRC.000648.02</t>
  </si>
  <si>
    <t>SHIPPING, SORTER SHIP 03, RECIRCULATION, 000648.02; CP648.11 E-5127: MCP64</t>
  </si>
  <si>
    <t>000648.02</t>
  </si>
  <si>
    <t>30SAT4000648.02</t>
  </si>
  <si>
    <t>648.03</t>
  </si>
  <si>
    <t>SHP.SRT03.RCRC.000648.03</t>
  </si>
  <si>
    <t>SHIPPING, SORTER SHIP 03, RECIRCULATION, 000648.03; CP648.11 E-5127: MCP64</t>
  </si>
  <si>
    <t>000648.03</t>
  </si>
  <si>
    <t>30SAT4000648.03</t>
  </si>
  <si>
    <t>648.04</t>
  </si>
  <si>
    <t>SHP.SRT03.RCRC.000648.04</t>
  </si>
  <si>
    <t>SHIPPING, SORTER SHIP 03, RECIRCULATION, 000648.04; CP648.11 E-5127: MCP64</t>
  </si>
  <si>
    <t>000648.04</t>
  </si>
  <si>
    <t>30SAT4000648.04</t>
  </si>
  <si>
    <t>648.05</t>
  </si>
  <si>
    <t>SHP.SRT03.RCRC.000648.05</t>
  </si>
  <si>
    <t>SHIPPING, SORTER SHIP 03, RECIRCULATION, 000648.05; CP648.11 E-5127: MCP64</t>
  </si>
  <si>
    <t>000648.05</t>
  </si>
  <si>
    <t>30SAT4000648.05</t>
  </si>
  <si>
    <t>648.06</t>
  </si>
  <si>
    <t>SHP.SRT03.RCRC.000648.06</t>
  </si>
  <si>
    <t>SHIPPING, SORTER SHIP 03, RECIRCULATION, 000648.06; CP648.11 E-5127: MCP64</t>
  </si>
  <si>
    <t>000648.06</t>
  </si>
  <si>
    <t>30SAT4000648.06</t>
  </si>
  <si>
    <t>648.07</t>
  </si>
  <si>
    <t>SHP.SRT03.RCRC.000648.07</t>
  </si>
  <si>
    <t>SHIPPING, SORTER SHIP 03, RECIRCULATION, 000648.07; CP648.11 E-5127: MCP64</t>
  </si>
  <si>
    <t>000648.07</t>
  </si>
  <si>
    <t>30SAT4000648.07</t>
  </si>
  <si>
    <t>648.08</t>
  </si>
  <si>
    <t>SHP.SRT03.RCRC.000648.08</t>
  </si>
  <si>
    <t>SHIPPING, SORTER SHIP 03, RECIRCULATION, 000648.08; CP648.11 E-5127: MCP64</t>
  </si>
  <si>
    <t>000648.08</t>
  </si>
  <si>
    <t>WYN.C754</t>
  </si>
  <si>
    <t>C754</t>
  </si>
  <si>
    <t>30SAT4000648.08</t>
  </si>
  <si>
    <t>648.09</t>
  </si>
  <si>
    <t>SHP.SRT03.RCRC.000648.09</t>
  </si>
  <si>
    <t>SHIPPING, SORTER SHIP 03, RECIRCULATION, 000648.09; CP648.11 E-5127: MCP64</t>
  </si>
  <si>
    <t>000648.09</t>
  </si>
  <si>
    <t>30SAT4000648.09</t>
  </si>
  <si>
    <t>648.10</t>
  </si>
  <si>
    <t>SHP.SRT03.RCRC.000648.10</t>
  </si>
  <si>
    <t>SHIPPING, SORTER SHIP 03, RECIRCULATION, 000648.10; CP648.11 E-5127: MCP64</t>
  </si>
  <si>
    <t>000648.10</t>
  </si>
  <si>
    <t>30SAT4000648.10</t>
  </si>
  <si>
    <t>SHP.SRT03.RCRC.000648.11</t>
  </si>
  <si>
    <t>SHIPPING, SORTER SHIP 03, RECIRCULATION, 000648.11; CP648.11 E-5127: MCP64</t>
  </si>
  <si>
    <t>000648.11</t>
  </si>
  <si>
    <t>30SAT4000648.11</t>
  </si>
  <si>
    <t>648.12</t>
  </si>
  <si>
    <t>SHP.SRT03.RCRC.000648.12</t>
  </si>
  <si>
    <t>SHIPPING, SORTER SHIP 03, RECIRCULATION, 000648.12; CP648.11 E-5127: MCP64</t>
  </si>
  <si>
    <t>000648.12</t>
  </si>
  <si>
    <t>30SAT4000648.12</t>
  </si>
  <si>
    <t>648.13</t>
  </si>
  <si>
    <t>SHP.SRT03.RCRC.000648.13</t>
  </si>
  <si>
    <t>SHIPPING, SORTER SHIP 03, RECIRCULATION, 000648.13; CP648.11 E-5127: MCP64</t>
  </si>
  <si>
    <t>000648.13</t>
  </si>
  <si>
    <t>30SAT4000648.13</t>
  </si>
  <si>
    <t>648.14</t>
  </si>
  <si>
    <t>SHP.SRT03.RCRC.000648.14</t>
  </si>
  <si>
    <t>SHIPPING, SORTER SHIP 03, RECIRCULATION, 000648.14; CP648.11 E-5127: MCP64</t>
  </si>
  <si>
    <t>000648.14</t>
  </si>
  <si>
    <t>30SAT4000648.14</t>
  </si>
  <si>
    <t>648.15</t>
  </si>
  <si>
    <t>SHP.SRT03.RCRC.000648.15</t>
  </si>
  <si>
    <t>SHIPPING, SORTER SHIP 03, RECIRCULATION, 000648.15; CP648.2 E-5127: MCP64</t>
  </si>
  <si>
    <t>000648.15</t>
  </si>
  <si>
    <t>30SAT4000648.15</t>
  </si>
  <si>
    <t>648.16</t>
  </si>
  <si>
    <t>SHP.SRT03.RCRC.000648.16</t>
  </si>
  <si>
    <t>SHIPPING, SORTER SHIP 03, RECIRCULATION, 000648.16; CP648.2 E-5127: MCP64</t>
  </si>
  <si>
    <t>000648.16</t>
  </si>
  <si>
    <t>30SAT4000648.16</t>
  </si>
  <si>
    <t>648.17</t>
  </si>
  <si>
    <t>SHP.SRT03.RCRC.000648.17</t>
  </si>
  <si>
    <t>SHIPPING, SORTER SHIP 03, RECIRCULATION, 000648.17; CP648.2 E-5127: MCP64</t>
  </si>
  <si>
    <t>000648.17</t>
  </si>
  <si>
    <t>30SAT4000648.17</t>
  </si>
  <si>
    <t>648.18</t>
  </si>
  <si>
    <t>SHP.SRT03.RCRC.000648.18</t>
  </si>
  <si>
    <t>SHIPPING, SORTER SHIP 03, RECIRCULATION, 000648.18; CP648.2 E-5127: MCP64</t>
  </si>
  <si>
    <t>000648.18</t>
  </si>
  <si>
    <t>30SAT4000648.18</t>
  </si>
  <si>
    <t>648.19</t>
  </si>
  <si>
    <t>SHP.SRT03.RCRC.000648.19</t>
  </si>
  <si>
    <t>SHIPPING, SORTER SHIP 03, RECIRCULATION, 000648.19; CP648.2 E-5127: MCP64</t>
  </si>
  <si>
    <t>000648.19</t>
  </si>
  <si>
    <t>30SAT4000648.19</t>
  </si>
  <si>
    <t>SHP.SRT03.RCRC.000648.20</t>
  </si>
  <si>
    <t>SHIPPING, SORTER SHIP 03, RECIRCULATION, 000648.20; CP648.2 E-5127: MCP64</t>
  </si>
  <si>
    <t>000648.20</t>
  </si>
  <si>
    <t>30SAT4000648.20</t>
  </si>
  <si>
    <t>648.21</t>
  </si>
  <si>
    <t>SHP.SRT03.RCRC.000648.21</t>
  </si>
  <si>
    <t>SHIPPING, SORTER SHIP 03, RECIRCULATION, 000648.21; CP648.1 E-5126: MCP64</t>
  </si>
  <si>
    <t>000648.21</t>
  </si>
  <si>
    <t>30SAT4000648.21</t>
  </si>
  <si>
    <t>650</t>
  </si>
  <si>
    <t>E-5126</t>
  </si>
  <si>
    <t>SHP.SRT03.LN.000650</t>
  </si>
  <si>
    <t>SHIPPING, SORTER SHIP 03, LANE, 000650; UPACK3; CP648.2 E-5128: MCP64</t>
  </si>
  <si>
    <t>000650</t>
  </si>
  <si>
    <t>30SAT4000650</t>
  </si>
  <si>
    <t>652</t>
  </si>
  <si>
    <t>E-5112</t>
  </si>
  <si>
    <t>SHP.SRT03.LN.000652</t>
  </si>
  <si>
    <t>SHIPPING, SORTER SHIP 03, LANE, 000652; UPACK3; CP652 E-5112: MCP64</t>
  </si>
  <si>
    <t>000652</t>
  </si>
  <si>
    <t>30SAT4000652</t>
  </si>
  <si>
    <t>653</t>
  </si>
  <si>
    <t>E-5114</t>
  </si>
  <si>
    <t>SHP.SRT03.LN.000653</t>
  </si>
  <si>
    <t>SHIPPING, SORTER SHIP 03, LANE, 000653; UPACK3; CP652 E-5114: MCP64</t>
  </si>
  <si>
    <t>000653</t>
  </si>
  <si>
    <t>30SAT4000653</t>
  </si>
  <si>
    <t>654</t>
  </si>
  <si>
    <t>E-5117</t>
  </si>
  <si>
    <t>656</t>
  </si>
  <si>
    <t>SHP.SRT03.SCTN.000654</t>
  </si>
  <si>
    <t>SHIPPING, SORTER SHIP 03, SCAN TUNNEL 01, 000654; UPACK3; CP656 E-5117: MCP63</t>
  </si>
  <si>
    <t>000654</t>
  </si>
  <si>
    <t>30SAT4000654</t>
  </si>
  <si>
    <t>E-5122</t>
  </si>
  <si>
    <t>SHP.SRT03.LN.000656</t>
  </si>
  <si>
    <t>SHIPPING, SORTER SHIP 03, LANE, 000656; UPACK3; CP648.02 E-5122: MCP63</t>
  </si>
  <si>
    <t>000656</t>
  </si>
  <si>
    <t>30SAT4000656</t>
  </si>
  <si>
    <t>660A</t>
  </si>
  <si>
    <t>E-5121</t>
  </si>
  <si>
    <t>SHP.03.LN01.00660A</t>
  </si>
  <si>
    <t>SHIPPING, SHIPPING 03, LINE 01, 00660A; UPACK3; CP660A E-5121: MCP64</t>
  </si>
  <si>
    <t>00660A</t>
  </si>
  <si>
    <t>30SAT400660A</t>
  </si>
  <si>
    <t>660B</t>
  </si>
  <si>
    <t>E-5116</t>
  </si>
  <si>
    <t>SHP.03.LN02.00660B</t>
  </si>
  <si>
    <t>SHIPPING, SHIPPING 03, LINE 02, 00660B; UPACK3; CP660B E-5116: MCP64</t>
  </si>
  <si>
    <t>00660B</t>
  </si>
  <si>
    <t>30SAT400660B</t>
  </si>
  <si>
    <t>660C</t>
  </si>
  <si>
    <t>E-5118</t>
  </si>
  <si>
    <t>SHP.03.LN03.00660C</t>
  </si>
  <si>
    <t>SHIPPING, SHIPPING 03, LINE 03, 00660C; UPACK3; CP660C E-5118: MCP64</t>
  </si>
  <si>
    <t>00660C</t>
  </si>
  <si>
    <t>30SAT400660C</t>
  </si>
  <si>
    <t>660D</t>
  </si>
  <si>
    <t>E-5115</t>
  </si>
  <si>
    <t>SHP.03.LN04.00660D</t>
  </si>
  <si>
    <t>SHIPPING, SHIPPING 03, LINE 04, 00660D; UPACK3; CP660D E-5115: MCP64</t>
  </si>
  <si>
    <t>00660D</t>
  </si>
  <si>
    <t>30SAT400660D</t>
  </si>
  <si>
    <t>661</t>
  </si>
  <si>
    <t>SHP.SRT03.TA.000661</t>
  </si>
  <si>
    <t>SHIPPING, SORTER SHIP 03, TAKEAWAY, 000661; UPACK3; CP661 E-5121: MCP64</t>
  </si>
  <si>
    <t>000661</t>
  </si>
  <si>
    <t>30SAT4000661</t>
  </si>
  <si>
    <t>664A</t>
  </si>
  <si>
    <t>SHP.03.LN01.00664A</t>
  </si>
  <si>
    <t>SHIPPING, SHIPPING 03, LINE 01, 00664A; MCP64</t>
  </si>
  <si>
    <t>00664A</t>
  </si>
  <si>
    <t>30SAT400664A</t>
  </si>
  <si>
    <t>664B</t>
  </si>
  <si>
    <t>SHP.03.LN02.00664B</t>
  </si>
  <si>
    <t>SHIPPING, SHIPPING 03, LINE 02, 00664B; MCP64</t>
  </si>
  <si>
    <t>00664B</t>
  </si>
  <si>
    <t>30SAT400664B</t>
  </si>
  <si>
    <t>664C</t>
  </si>
  <si>
    <t>SHP.03.LN03.00664C</t>
  </si>
  <si>
    <t>SHIPPING, SHIPPING 03, LINE 03, 00664C; MCP64</t>
  </si>
  <si>
    <t>00664C</t>
  </si>
  <si>
    <t>30SAT400664C</t>
  </si>
  <si>
    <t>664D</t>
  </si>
  <si>
    <t>SHP.03.LN04.00664D</t>
  </si>
  <si>
    <t>SHIPPING, SHIPPING 03, LINE 04, 00664D; MCP64</t>
  </si>
  <si>
    <t>00664D</t>
  </si>
  <si>
    <t>30SAT400664D</t>
  </si>
  <si>
    <t>1000</t>
  </si>
  <si>
    <t>Tail Sorter</t>
  </si>
  <si>
    <t>E-5067</t>
  </si>
  <si>
    <t>MCP-71</t>
  </si>
  <si>
    <t>MRG.04.IF01.001000</t>
  </si>
  <si>
    <t>MERGE, MRG  TO TAIL SORTER, INFEED 01 FROM SHIP 01, 001000; CP1000 E-5067: MCP71</t>
  </si>
  <si>
    <t>001000</t>
  </si>
  <si>
    <t>30SAT4001000</t>
  </si>
  <si>
    <t>1012.01</t>
  </si>
  <si>
    <t>E-5148</t>
  </si>
  <si>
    <t>1012.07</t>
  </si>
  <si>
    <t>Not in APM</t>
  </si>
  <si>
    <t>1012.02</t>
  </si>
  <si>
    <t>MRG.04.LN.001012.02</t>
  </si>
  <si>
    <t>MERGE, MRG  TO TAIL SORTER, LANE, 001012.02; TAIL; CP1012.07 E-5148: MCP71</t>
  </si>
  <si>
    <t>001012.02</t>
  </si>
  <si>
    <t>30SAT4001012.02</t>
  </si>
  <si>
    <t>1012.03</t>
  </si>
  <si>
    <t>MRG.04.LN.001012.03</t>
  </si>
  <si>
    <t>MERGE, MRG  TO TAIL SORTER, LANE, 001012.03; TAIL; CP1012.07 E-5148: MCP71</t>
  </si>
  <si>
    <t>001012.03</t>
  </si>
  <si>
    <t>30SAT4001012.03</t>
  </si>
  <si>
    <t>1012.04</t>
  </si>
  <si>
    <t>MRG.04.LN.001012.04</t>
  </si>
  <si>
    <t>MERGE, MRG  TO TAIL SORTER, LANE, 001012.04; TAIL; CP1012.07 E-5148: MCP71</t>
  </si>
  <si>
    <t>001012.04</t>
  </si>
  <si>
    <t>30SAT4001012.04</t>
  </si>
  <si>
    <t>1012.05</t>
  </si>
  <si>
    <t>MRG.04.LN.001012.05</t>
  </si>
  <si>
    <t>MERGE, MRG  TO TAIL SORTER, LANE, 001012.05; TAIL; CP1012.07 E-5148: MCP71</t>
  </si>
  <si>
    <t>001012.05</t>
  </si>
  <si>
    <t>30SAT4001012.05</t>
  </si>
  <si>
    <t>1012.06</t>
  </si>
  <si>
    <t>MRG.04.LN.001012.06</t>
  </si>
  <si>
    <t>MERGE, MRG  TO TAIL SORTER, LANE, 001012.06; TAIL; CP1012.07 E-5148: MCP71</t>
  </si>
  <si>
    <t>001012.06</t>
  </si>
  <si>
    <t>30SAT4001012.06</t>
  </si>
  <si>
    <t>MRG.04.LN.001012.07</t>
  </si>
  <si>
    <t>MERGE, MRG  TO TAIL SORTER, LANE, 001012.07; TAIL; CP1012.07 E-5148: MCP71</t>
  </si>
  <si>
    <t>001012.07</t>
  </si>
  <si>
    <t>30SAT4001012.07</t>
  </si>
  <si>
    <t>1012.08</t>
  </si>
  <si>
    <t>MRG.04.LN.001012.08</t>
  </si>
  <si>
    <t>MERGE, MRG  TO TAIL SORTER, LANE, 001012.08; TAIL; CP1012.07 E-5148: MCP71</t>
  </si>
  <si>
    <t>001012.08</t>
  </si>
  <si>
    <t>30SAT4001012.08</t>
  </si>
  <si>
    <t>1012.09</t>
  </si>
  <si>
    <t>MRG.04.LN.001012.09</t>
  </si>
  <si>
    <t>MERGE, MRG  TO TAIL SORTER, LANE, 001012.09; TAIL; CP1012.07 E-5148: MCP71</t>
  </si>
  <si>
    <t>001012.09</t>
  </si>
  <si>
    <t>30SAT4001012.09</t>
  </si>
  <si>
    <t>1012.10</t>
  </si>
  <si>
    <t>MRG.04.LN.001012.10</t>
  </si>
  <si>
    <t>MERGE, MRG  TO TAIL SORTER, LANE, 001012.10; TAIL; CP1012.07 E-5148: MCP71</t>
  </si>
  <si>
    <t>001012.10</t>
  </si>
  <si>
    <t>30SAT4001012.10</t>
  </si>
  <si>
    <t>1012.11</t>
  </si>
  <si>
    <t>MRG.04.LN.001012.11</t>
  </si>
  <si>
    <t>MERGE, MRG  TO TAIL SORTER, LANE, 001012.11; TAIL; CP1012.07 E-5148: MCP71</t>
  </si>
  <si>
    <t>001012.11</t>
  </si>
  <si>
    <t>30SAT4001012.11</t>
  </si>
  <si>
    <t>1012.12</t>
  </si>
  <si>
    <t>MRG.04.LN.001012.12</t>
  </si>
  <si>
    <t>MERGE, MRG  TO TAIL SORTER, LANE, 001012.12; TAIL; CP1012.07 E-5148: MCP71</t>
  </si>
  <si>
    <t>001012.12</t>
  </si>
  <si>
    <t>30SAT4001012.12</t>
  </si>
  <si>
    <t>1012.13</t>
  </si>
  <si>
    <t>E-5147</t>
  </si>
  <si>
    <t>1012.16</t>
  </si>
  <si>
    <t>Unknown</t>
  </si>
  <si>
    <t>MRG.04.LN.001012.13</t>
  </si>
  <si>
    <t>MERGE, MRG  TO TAIL SORTER, LANE, 001012.13; TAIL; CP1012.16 E-5147: MCP71</t>
  </si>
  <si>
    <t>001012.13</t>
  </si>
  <si>
    <t>30SAT4001012.13</t>
  </si>
  <si>
    <t>1012.14</t>
  </si>
  <si>
    <t>MRG.04.LN.001012.14</t>
  </si>
  <si>
    <t>MERGE, MRG  TO TAIL SORTER, LANE, 001012.14; TAIL; CP1012.16 E-5147: MCP71</t>
  </si>
  <si>
    <t>001012.14</t>
  </si>
  <si>
    <t>30SAT4001012.14</t>
  </si>
  <si>
    <t>1012.15</t>
  </si>
  <si>
    <t>MRG.04.LN.001012.15</t>
  </si>
  <si>
    <t>MERGE, MRG  TO TAIL SORTER, LANE, 001012.15; TAIL; CP1012.16 E-5147: MCP71</t>
  </si>
  <si>
    <t>001012.15</t>
  </si>
  <si>
    <t>30SAT4001012.15</t>
  </si>
  <si>
    <t>MRG.04.LN.001012.16</t>
  </si>
  <si>
    <t>MERGE, MRG  TO TAIL SORTER, LANE, 001012.16; TAIL; CP1012.16 E-5147: MCP71</t>
  </si>
  <si>
    <t>001012.16</t>
  </si>
  <si>
    <t>30SAT4001012.16</t>
  </si>
  <si>
    <t>1012.17</t>
  </si>
  <si>
    <t>MRG.04.LN.001012.17</t>
  </si>
  <si>
    <t>MERGE, MRG  TO TAIL SORTER, LANE, 001012.17; TAIL; CP1012.16 E-5147: MCP71</t>
  </si>
  <si>
    <t>001012.17</t>
  </si>
  <si>
    <t>30SAT4001012.17</t>
  </si>
  <si>
    <t>1012.18</t>
  </si>
  <si>
    <t>MRG.04.LN.001012.18</t>
  </si>
  <si>
    <t>MERGE, MRG  TO TAIL SORTER, LANE, 001012.18; TAIL; CP1012.16 E-5147: MCP71</t>
  </si>
  <si>
    <t>001012.18</t>
  </si>
  <si>
    <t>30SAT4001012.18</t>
  </si>
  <si>
    <t>1012.19</t>
  </si>
  <si>
    <t>MRG.04.LN.001012.19</t>
  </si>
  <si>
    <t>MERGE, MRG  TO TAIL SORTER, LANE, 001012.19; TAIL; CP1012.16 E-5147: MCP71</t>
  </si>
  <si>
    <t>001012.19</t>
  </si>
  <si>
    <t>30SAT4001012.19</t>
  </si>
  <si>
    <t>1012.20</t>
  </si>
  <si>
    <t>MRG.04.LN.001012.20</t>
  </si>
  <si>
    <t>MERGE, MRG  TO TAIL SORTER, LANE, 001012.20; TAIL; CP1012.16 E-5147: MCP71</t>
  </si>
  <si>
    <t>001012.20</t>
  </si>
  <si>
    <t>30SAT4001012.20</t>
  </si>
  <si>
    <t>1012.21</t>
  </si>
  <si>
    <t>MRG.04.LN.001012.21</t>
  </si>
  <si>
    <t>MERGE, MRG  TO TAIL SORTER, LANE, 001012.21; TAIL; CP1012.16 E-5147: MCP71</t>
  </si>
  <si>
    <t>001012.21</t>
  </si>
  <si>
    <t>30SAT4001012.21</t>
  </si>
  <si>
    <t>1012.22</t>
  </si>
  <si>
    <t>MRG.04.LN.001012.22</t>
  </si>
  <si>
    <t>MERGE, MRG  TO TAIL SORTER, LANE, 001012.22; TAIL; CP1012.16 E-5147: MCP71</t>
  </si>
  <si>
    <t>001012.22</t>
  </si>
  <si>
    <t>30SAT4001012.22</t>
  </si>
  <si>
    <t>1012.23</t>
  </si>
  <si>
    <t>MRG.04.LN.001012.23</t>
  </si>
  <si>
    <t>MERGE, MRG  TO TAIL SORTER, LANE, 001012.23; TAIL; CP1012.16 E-5147: MCP71</t>
  </si>
  <si>
    <t>001012.23</t>
  </si>
  <si>
    <t>30SAT4001012.23</t>
  </si>
  <si>
    <t>1012.24</t>
  </si>
  <si>
    <t>MRG.04.LN.001012.24</t>
  </si>
  <si>
    <t>MERGE, MRG  TO TAIL SORTER, LANE, 001012.24; TAIL; CP1012.16 E-5147: MCP71</t>
  </si>
  <si>
    <t>001012.24</t>
  </si>
  <si>
    <t>30SAT4001012.24</t>
  </si>
  <si>
    <t>1020.01</t>
  </si>
  <si>
    <t>E-5094</t>
  </si>
  <si>
    <t>1020.03</t>
  </si>
  <si>
    <t>MRG.04.IF02.001020.01</t>
  </si>
  <si>
    <t>MERGE, MRG  TO TAIL SORTER, INFEED 01 FROM SHIP 02, 001020.01; E-5094: MCP71</t>
  </si>
  <si>
    <t>001020.01</t>
  </si>
  <si>
    <t>30SAT4001020.01</t>
  </si>
  <si>
    <t>1020.02</t>
  </si>
  <si>
    <t>MRG.04.IF02.001020.02</t>
  </si>
  <si>
    <t>MERGE, MRG  TO TAIL SORTER, INFEED 01 FROM SHIP 02, 001020.02; E-5094: MCP71</t>
  </si>
  <si>
    <t>001020.02</t>
  </si>
  <si>
    <t>30SAT4001020.02</t>
  </si>
  <si>
    <t>MRG.04.IF02.001020.03</t>
  </si>
  <si>
    <t>MERGE, MRG  TO TAIL SORTER, INFEED 01 FROM SHIP 02, 001020.03; E-5094: MCP71</t>
  </si>
  <si>
    <t>001020.03</t>
  </si>
  <si>
    <t>30SAT4001020.03</t>
  </si>
  <si>
    <t>1020.04</t>
  </si>
  <si>
    <t>MRG.04.IF02.001020.04</t>
  </si>
  <si>
    <t>MERGE, MRG  TO TAIL SORTER, INFEED 01 FROM SHIP 02, 001020.04; E-5094: MCP71</t>
  </si>
  <si>
    <t>001020.04</t>
  </si>
  <si>
    <t>30SAT4001020.04</t>
  </si>
  <si>
    <t>1020.05</t>
  </si>
  <si>
    <t>MRG.04.IF02.001020.05</t>
  </si>
  <si>
    <t>MERGE, MRG  TO TAIL SORTER, INFEED 01 FROM SHIP 02, 001020.05; E-5094: MCP71</t>
  </si>
  <si>
    <t>001020.05</t>
  </si>
  <si>
    <t>30SAT4001020.05</t>
  </si>
  <si>
    <t>1020.06</t>
  </si>
  <si>
    <t>MRG.04.IF02.001020.06</t>
  </si>
  <si>
    <t>MERGE, MRG  TO TAIL SORTER, INFEED 01 FROM SHIP 02, 001020.06; E-5094: MCP71</t>
  </si>
  <si>
    <t>001020.06</t>
  </si>
  <si>
    <t>30SAT4001020.06</t>
  </si>
  <si>
    <t>1020.07</t>
  </si>
  <si>
    <t>MRG.04.IF02.001020.07</t>
  </si>
  <si>
    <t>MERGE, MRG  TO TAIL SORTER, INFEED 01 FROM SHIP 02, 001020.07; E-5094: MCP71</t>
  </si>
  <si>
    <t>001020.07</t>
  </si>
  <si>
    <t>30SAT4001020.07</t>
  </si>
  <si>
    <t>1020.08</t>
  </si>
  <si>
    <t>MRG.04.IF02.001020.08</t>
  </si>
  <si>
    <t>MERGE, MRG  TO TAIL SORTER, INFEED 01 FROM SHIP 02, 001020.08; E-5094: MCP71</t>
  </si>
  <si>
    <t>001020.08</t>
  </si>
  <si>
    <t>30SAT4001020.08</t>
  </si>
  <si>
    <t>1024.01</t>
  </si>
  <si>
    <t>E-5146</t>
  </si>
  <si>
    <t>1024.03</t>
  </si>
  <si>
    <t>MRG.04.LN.001024.01</t>
  </si>
  <si>
    <t>MERGE, MRG  TO TAIL SORTER, LANE, 001024.01; TAIL; CP1024.03 E-5146: MCP71</t>
  </si>
  <si>
    <t>001024.01</t>
  </si>
  <si>
    <t>30SAT4001024.01</t>
  </si>
  <si>
    <t>1024.02</t>
  </si>
  <si>
    <t>MRG.04.LN.001024.02</t>
  </si>
  <si>
    <t>MERGE, MRG  TO TAIL SORTER, LANE, 001024.02; TAIL; CP1024.03 E-5146: MCP71</t>
  </si>
  <si>
    <t>001024.02</t>
  </si>
  <si>
    <t>30SAT4001024.02</t>
  </si>
  <si>
    <t>MRG.04.LN.001024.03</t>
  </si>
  <si>
    <t>MERGE, MRG  TO TAIL SORTER, LANE, 001024.03; TAIL; CP1024.03 E-5146: MCP71</t>
  </si>
  <si>
    <t>001024.03</t>
  </si>
  <si>
    <t>30SAT4001024.03</t>
  </si>
  <si>
    <t>1024.04</t>
  </si>
  <si>
    <t>MRG.04.LN.001024.04</t>
  </si>
  <si>
    <t>MERGE, MRG  TO TAIL SORTER, LANE, 001024.04; TAIL; CP1024.03 E-5146: MCP71</t>
  </si>
  <si>
    <t>001024.04</t>
  </si>
  <si>
    <t>30SAT4001024.04</t>
  </si>
  <si>
    <t>1024.05</t>
  </si>
  <si>
    <t>MRG.04.LN.001024.05</t>
  </si>
  <si>
    <t>MERGE, MRG  TO TAIL SORTER, LANE, 001024.05; TAIL; CP1024.03 E-5146: MCP71</t>
  </si>
  <si>
    <t>001024.05</t>
  </si>
  <si>
    <t>30SAT4001024.05</t>
  </si>
  <si>
    <t>1024.06</t>
  </si>
  <si>
    <t>MRG.04.LN.001024.06</t>
  </si>
  <si>
    <t>MERGE, MRG  TO TAIL SORTER, LANE, 001024.06; TAIL; CP1024.03 E-5146: MCP71</t>
  </si>
  <si>
    <t>001024.06</t>
  </si>
  <si>
    <t>30SAT4001024.06</t>
  </si>
  <si>
    <t>1024.07</t>
  </si>
  <si>
    <t>MRG.04.LN.001024.07</t>
  </si>
  <si>
    <t>MERGE, MRG  TO TAIL SORTER, LANE, 001024.07; TAIL; CP1024.03 E-5146: MCP71</t>
  </si>
  <si>
    <t>001024.07</t>
  </si>
  <si>
    <t>30SAT4001024.07</t>
  </si>
  <si>
    <t>1024.08</t>
  </si>
  <si>
    <t>MRG.04.LN.001024.08</t>
  </si>
  <si>
    <t>MERGE, MRG  TO TAIL SORTER, LANE, 001024.08; TAIL; CP1024.03 E-5146: MCP71</t>
  </si>
  <si>
    <t>001024.08</t>
  </si>
  <si>
    <t>30SAT4001024.08</t>
  </si>
  <si>
    <t>1024.09</t>
  </si>
  <si>
    <t>MRG.04.LN.001024.09</t>
  </si>
  <si>
    <t>MERGE, MRG  TO TAIL SORTER, LANE, 001024.09; TAIL; CP1024.03 E-5146: MCP71</t>
  </si>
  <si>
    <t>001024.09</t>
  </si>
  <si>
    <t>30SAT4001024.09</t>
  </si>
  <si>
    <t>1024.10</t>
  </si>
  <si>
    <t>MRG.04.LN.001024.10</t>
  </si>
  <si>
    <t>MERGE, MRG  TO TAIL SORTER, LANE, 001024.10; TAIL; CP1024.03 E-5146: MCP71</t>
  </si>
  <si>
    <t>001024.10</t>
  </si>
  <si>
    <t>30SAT4001024.10</t>
  </si>
  <si>
    <t>1024.11</t>
  </si>
  <si>
    <t>E-5145</t>
  </si>
  <si>
    <t>1024.13</t>
  </si>
  <si>
    <t>MRG.04.LN.001024.11</t>
  </si>
  <si>
    <t>MERGE, MRG  TO TAIL SORTER, LANE, 001024.11; TAIL; CP1024.13 E-5145: MCP71</t>
  </si>
  <si>
    <t>001024.11</t>
  </si>
  <si>
    <t>30SAT4001024.11</t>
  </si>
  <si>
    <t>1024.12</t>
  </si>
  <si>
    <t>MRG.04.LN.001024.12</t>
  </si>
  <si>
    <t>MERGE, MRG  TO TAIL SORTER, LANE, 001024.12; TAIL; CP1024.13 E-5145: MCP71</t>
  </si>
  <si>
    <t>001024.12</t>
  </si>
  <si>
    <t>30SAT4001024.12</t>
  </si>
  <si>
    <t>MRG.04.LN.001024.13</t>
  </si>
  <si>
    <t>MERGE, MRG  TO TAIL SORTER, LANE, 001024.13; TAIL; CP1024.13 E-5145: MCP71</t>
  </si>
  <si>
    <t>001024.13</t>
  </si>
  <si>
    <t>30SAT4001024.13</t>
  </si>
  <si>
    <t>1024.14</t>
  </si>
  <si>
    <t>MRG.04.LN.001024.14</t>
  </si>
  <si>
    <t>MERGE, MRG  TO TAIL SORTER, LANE, 001024.14; TAIL; CP1024.13 E-5145: MCP71</t>
  </si>
  <si>
    <t>001024.14</t>
  </si>
  <si>
    <t>30SAT4001024.14</t>
  </si>
  <si>
    <t>1024.15</t>
  </si>
  <si>
    <t>MRG.04.LN.001024.15</t>
  </si>
  <si>
    <t>MERGE, MRG  TO TAIL SORTER, LANE, 001024.15; TAIL; CP1024.13 E-5145: MCP71</t>
  </si>
  <si>
    <t>001024.15</t>
  </si>
  <si>
    <t>30SAT4001024.15</t>
  </si>
  <si>
    <t>1024.16</t>
  </si>
  <si>
    <t>MRG.04.LN.001024.16</t>
  </si>
  <si>
    <t>MERGE, MRG  TO TAIL SORTER, LANE, 001024.16; TAIL; CP1024.13 E-5145: MCP71</t>
  </si>
  <si>
    <t>001024.16</t>
  </si>
  <si>
    <t>30SAT4001024.16</t>
  </si>
  <si>
    <t>1024.17</t>
  </si>
  <si>
    <t>MRG.04.LN.001024.17</t>
  </si>
  <si>
    <t>MERGE, MRG  TO TAIL SORTER, LANE, 001024.17; TAIL; CP1024.13 E-5145: MCP71</t>
  </si>
  <si>
    <t>001024.17</t>
  </si>
  <si>
    <t>30SAT4001024.17</t>
  </si>
  <si>
    <t>1024.18</t>
  </si>
  <si>
    <t>MRG.04.LN.001024.18</t>
  </si>
  <si>
    <t>MERGE, MRG  TO TAIL SORTER, LANE, 001024.18; TAIL; CP1024.13 E-5145: MCP71</t>
  </si>
  <si>
    <t>001024.18</t>
  </si>
  <si>
    <t>30SAT4001024.18</t>
  </si>
  <si>
    <t>1024.19</t>
  </si>
  <si>
    <t>MRG.04.LN.001024.19</t>
  </si>
  <si>
    <t>MERGE, MRG  TO TAIL SORTER, LANE, 001024.19; TAIL; CP1024.13 E-5145: MCP71</t>
  </si>
  <si>
    <t>001024.19</t>
  </si>
  <si>
    <t>30SAT4001024.19</t>
  </si>
  <si>
    <t>1030.01</t>
  </si>
  <si>
    <t>E-5120</t>
  </si>
  <si>
    <t>1030.03</t>
  </si>
  <si>
    <t>MRG.04.LN.001030.01</t>
  </si>
  <si>
    <t>MERGE, MRG  TO TAIL SORTER, LANE, 001030.01; TAIL; CP1030.13 E-5120: MCP71</t>
  </si>
  <si>
    <t>001030.01</t>
  </si>
  <si>
    <t>30SAT4001030.01</t>
  </si>
  <si>
    <t>1030.02</t>
  </si>
  <si>
    <t>MRG.04.LN.001030.02</t>
  </si>
  <si>
    <t>MERGE, MRG  TO TAIL SORTER, LANE, 001030.02; TAIL; CP1030.03 E-5120: MCP71</t>
  </si>
  <si>
    <t>001030.02</t>
  </si>
  <si>
    <t>30SAT4001030.02</t>
  </si>
  <si>
    <t>MRG.04.LN.001030.03</t>
  </si>
  <si>
    <t>MERGE, MRG  TO TAIL SORTER, LANE, 001030.03; TAIL; CP1030.03 E-5120: MCP71</t>
  </si>
  <si>
    <t>001030.03</t>
  </si>
  <si>
    <t>30SAT4001030.03</t>
  </si>
  <si>
    <t>1030.04</t>
  </si>
  <si>
    <t>MRG.04.LN.001030.04</t>
  </si>
  <si>
    <t>MERGE, MRG  TO TAIL SORTER, LANE, 001030.04; TAIL; CP1030.03 E-5120: MCP71</t>
  </si>
  <si>
    <t>001030.04</t>
  </si>
  <si>
    <t>30SAT4001030.04</t>
  </si>
  <si>
    <t>1030.05</t>
  </si>
  <si>
    <t>MRG.04.LN.001030.05</t>
  </si>
  <si>
    <t>MERGE, MRG  TO TAIL SORTER, LANE, 001030.05; TAIL; CP1030.03 E-5120: MCP71</t>
  </si>
  <si>
    <t>001030.05</t>
  </si>
  <si>
    <t>30SAT4001030.05</t>
  </si>
  <si>
    <t>1030.06</t>
  </si>
  <si>
    <t>MRG.04.LN.001030.06</t>
  </si>
  <si>
    <t>MERGE, MRG  TO TAIL SORTER, LANE, 001030.06; TAIL; CP1030.03 E-5120: MCP71</t>
  </si>
  <si>
    <t>001030.06</t>
  </si>
  <si>
    <t>30SAT4001030.06</t>
  </si>
  <si>
    <t>1030.07</t>
  </si>
  <si>
    <t>MRG.04.LN.001030.07</t>
  </si>
  <si>
    <t>MERGE, MRG  TO TAIL SORTER, LANE, 001030.07; TAIL; CP1030.03 E-5120: MCP71</t>
  </si>
  <si>
    <t>001030.07</t>
  </si>
  <si>
    <t>30SAT4001030.07</t>
  </si>
  <si>
    <t>1030.08</t>
  </si>
  <si>
    <t>MRG.04.LN.001030.08</t>
  </si>
  <si>
    <t>MERGE, MRG  TO TAIL SORTER, LANE, 001030.08; TAIL; CP1030.03 E-5120: MCP71</t>
  </si>
  <si>
    <t>001030.08</t>
  </si>
  <si>
    <t>30SAT4001030.08</t>
  </si>
  <si>
    <t>1034.01</t>
  </si>
  <si>
    <t>E-5144</t>
  </si>
  <si>
    <t>1034.03</t>
  </si>
  <si>
    <t>MRG.04.LN.001034.01</t>
  </si>
  <si>
    <t>MERGE, MRG  TO TAIL SORTER, LANE, 001034.01; TAIL; CP1034.03 E-5144: MCP71</t>
  </si>
  <si>
    <t>001034.01</t>
  </si>
  <si>
    <t>30SAT4001034.01</t>
  </si>
  <si>
    <t>1034.02</t>
  </si>
  <si>
    <t>MRG.04.LN.001034.02</t>
  </si>
  <si>
    <t>MERGE, MRG  TO TAIL SORTER, LANE, 001034.02; TAIL; CP1034.03 E-5144: MCP71</t>
  </si>
  <si>
    <t>001034.02</t>
  </si>
  <si>
    <t xml:space="preserve">001034.02 </t>
  </si>
  <si>
    <t>30SAT4001034.02</t>
  </si>
  <si>
    <t>MRG.04.LN.001034.03</t>
  </si>
  <si>
    <t>MERGE, MRG  TO TAIL SORTER, LANE, 001034.03; TAIL; CP1034.03 E-5144: MCP71</t>
  </si>
  <si>
    <t>001034.03</t>
  </si>
  <si>
    <t>30SAT4001034.03</t>
  </si>
  <si>
    <t>1034.04</t>
  </si>
  <si>
    <t>MRG.04.LN.001034.04</t>
  </si>
  <si>
    <t>MERGE, MRG  TO TAIL SORTER, LANE, 001034.04; TAIL; CP1034.03 E-5144: MCP71</t>
  </si>
  <si>
    <t>001034.04</t>
  </si>
  <si>
    <t>30SAT4001034.04</t>
  </si>
  <si>
    <t>1034.05</t>
  </si>
  <si>
    <t>MRG.04.LN.001034.05</t>
  </si>
  <si>
    <t>MERGE, MRG  TO TAIL SORTER, LANE, 001034.05; TAIL; CP10340.3 E-5144: MCP71</t>
  </si>
  <si>
    <t>001034.05</t>
  </si>
  <si>
    <t>30SAT4001034.05</t>
  </si>
  <si>
    <t>1034.06</t>
  </si>
  <si>
    <t>MRG.04.LN.001034.06</t>
  </si>
  <si>
    <t>MERGE, MRG  TO TAIL SORTER, LANE, 001034.06; TAIL; CP1034.03 E-5144: MCP71</t>
  </si>
  <si>
    <t>001034.06</t>
  </si>
  <si>
    <t>30SAT4001034.06</t>
  </si>
  <si>
    <t>1036.01</t>
  </si>
  <si>
    <t>E-5143</t>
  </si>
  <si>
    <t>1036.02</t>
  </si>
  <si>
    <t>MRG.04.LN.001036.01</t>
  </si>
  <si>
    <t>MERGE, MRG  TO TAIL SORTER, LANE, 001036.01; TAIL; CP1036.02 E-5143: MCP71</t>
  </si>
  <si>
    <t>001036.01</t>
  </si>
  <si>
    <t>30SAT4001036.01</t>
  </si>
  <si>
    <t>MRG.04.LN.001036.02</t>
  </si>
  <si>
    <t>MERGE, MRG  TO TAIL SORTER, LANE, 001036.02; TAIL; CP1036.02 E-5143: MCP71</t>
  </si>
  <si>
    <t>001036.02</t>
  </si>
  <si>
    <t>30SAT4001036.02</t>
  </si>
  <si>
    <t>1036.03</t>
  </si>
  <si>
    <t>MRG.04.LN.001036.03</t>
  </si>
  <si>
    <t>MERGE, MRG  TO TAIL SORTER, LANE, 001036.03; TAIL; CP1036.02 E-5143: MCP71</t>
  </si>
  <si>
    <t>001036.03</t>
  </si>
  <si>
    <t>30SAT4001036.03</t>
  </si>
  <si>
    <t>1036.04</t>
  </si>
  <si>
    <t>MRG.04.LN.001036.04</t>
  </si>
  <si>
    <t>MERGE, MRG  TO TAIL SORTER, LANE, 001036.04; TAIL; CP1036.02 E-5143: MCP71</t>
  </si>
  <si>
    <t>001036.04</t>
  </si>
  <si>
    <t>30SAT4001036.04</t>
  </si>
  <si>
    <t>1036.05</t>
  </si>
  <si>
    <t>MRG.04.LN.001036.05</t>
  </si>
  <si>
    <t>MERGE, MRG  TO TAIL SORTER, LANE, 001036.05; TAIL; CP1036.02 E-5143: MCP71</t>
  </si>
  <si>
    <t>001036.05</t>
  </si>
  <si>
    <t>30SAT4001036.05</t>
  </si>
  <si>
    <t>1036.06</t>
  </si>
  <si>
    <t>MRG.04.LN.001036.06</t>
  </si>
  <si>
    <t>MERGE, MRG  TO TAIL SORTER, LANE, 001036.06; TAIL; CP1036.02 E-5143: MCP71</t>
  </si>
  <si>
    <t>001036.06</t>
  </si>
  <si>
    <t>30SAT4001036.06</t>
  </si>
  <si>
    <t>1050</t>
  </si>
  <si>
    <t>E-5129</t>
  </si>
  <si>
    <t>SHP.04.LN04.001050</t>
  </si>
  <si>
    <t>SHIPPING, SHIPPING 04, LINE 04, 001050; TAIL; CP1036.06 E-5129: MCP71</t>
  </si>
  <si>
    <t>001050</t>
  </si>
  <si>
    <t>30SAT40001050</t>
  </si>
  <si>
    <t>1052</t>
  </si>
  <si>
    <t>E-5130</t>
  </si>
  <si>
    <t>SHP.04.LN04.001052</t>
  </si>
  <si>
    <t>SHIPPING, SHIPPING 04, LINE 04, 001052; TAIL; CP1052 E-5130: MCP71</t>
  </si>
  <si>
    <t>001052</t>
  </si>
  <si>
    <t>30SAT40001052</t>
  </si>
  <si>
    <t>1056</t>
  </si>
  <si>
    <t>E-5131</t>
  </si>
  <si>
    <t>SHP.04.LN04.001056</t>
  </si>
  <si>
    <t>SHIPPING, SHIPPING 04, LINE 04, 001056; TAIL; CP1052 E-5131: MCP71</t>
  </si>
  <si>
    <t>001056</t>
  </si>
  <si>
    <t>30SAT4001056</t>
  </si>
  <si>
    <t>1058</t>
  </si>
  <si>
    <t>E-5134</t>
  </si>
  <si>
    <t>1068</t>
  </si>
  <si>
    <t>SHP.04.001058</t>
  </si>
  <si>
    <t>SHIPPING, SHIPPING 04, 001058; TAIL; CP1068 E-5134: MCP71</t>
  </si>
  <si>
    <t>001058</t>
  </si>
  <si>
    <t>30SAT4001058</t>
  </si>
  <si>
    <t>1060A</t>
  </si>
  <si>
    <t>E-5142</t>
  </si>
  <si>
    <t>SHP.04.LN01.01060A</t>
  </si>
  <si>
    <t>SHIPPING, SHIPPING 04, LINE 01, 01060A; TAIL; CP1060A E-5142: MCP71</t>
  </si>
  <si>
    <t>01060A</t>
  </si>
  <si>
    <t>30SAT401060A</t>
  </si>
  <si>
    <t>1060B</t>
  </si>
  <si>
    <t>E-5140</t>
  </si>
  <si>
    <t>SHP.04.LN02.01060B</t>
  </si>
  <si>
    <t>SHIPPING, SHIPPING 04, LINE 02, 01060B; TAIL; CP1060B E-5140: MCP71</t>
  </si>
  <si>
    <t>01060B</t>
  </si>
  <si>
    <t>30SAT401060B</t>
  </si>
  <si>
    <t>1060C</t>
  </si>
  <si>
    <t>E-5138</t>
  </si>
  <si>
    <t>SHP.04.LN03.01060C</t>
  </si>
  <si>
    <t>SHIPPING, SHIPPING 04, LINE 03, 01060C; TAIL; CP1060C E-5138: MCP71</t>
  </si>
  <si>
    <t>01060C</t>
  </si>
  <si>
    <t>30SAT401060C</t>
  </si>
  <si>
    <t>1060D</t>
  </si>
  <si>
    <t>E-5136</t>
  </si>
  <si>
    <t>SHP.04.LN04.01060D</t>
  </si>
  <si>
    <t>SHIPPING, SHIPPING 04, LINE 04, 01060D; TAIL; CP1060D E-5136: MCP71</t>
  </si>
  <si>
    <t>01060D</t>
  </si>
  <si>
    <t>30SAT401060D</t>
  </si>
  <si>
    <t>1064A</t>
  </si>
  <si>
    <t>E-5141</t>
  </si>
  <si>
    <t>SHP.04.LN01.01064A</t>
  </si>
  <si>
    <t>SHIPPING, SHIPPING 04, LINE 01, 01064A; TAIL; CP1064A E-5141: MCP71</t>
  </si>
  <si>
    <t>01064A</t>
  </si>
  <si>
    <t>30SAT401064A</t>
  </si>
  <si>
    <t>1064B</t>
  </si>
  <si>
    <t>E-5139</t>
  </si>
  <si>
    <t>SHP.04.LN02.01064B</t>
  </si>
  <si>
    <t>SHIPPING, SHIPPING 04, LINE 02, 01064B; TAIL; CP1064B E-5139: MCP71</t>
  </si>
  <si>
    <t>01064B</t>
  </si>
  <si>
    <t>30SAT401064B</t>
  </si>
  <si>
    <t>1064C</t>
  </si>
  <si>
    <t>E-5137</t>
  </si>
  <si>
    <t>SHP.04.LN03.01064C</t>
  </si>
  <si>
    <t>SHIPPING, SHIPPING 04, LINE 03, 01064C; TAIL; CP1064C E-5137: MCP71</t>
  </si>
  <si>
    <t>01064C</t>
  </si>
  <si>
    <t>30SAT401064C</t>
  </si>
  <si>
    <t>1064D</t>
  </si>
  <si>
    <t>E-5133</t>
  </si>
  <si>
    <t>SHP.04.LN04.01064D</t>
  </si>
  <si>
    <t>SHIPPING, SHIPPING 04, LINE 04, 01064D; TAIL; CP1064D E-5133: MCP71</t>
  </si>
  <si>
    <t>01064D</t>
  </si>
  <si>
    <t>30SAT401064D</t>
  </si>
  <si>
    <t>1066A</t>
  </si>
  <si>
    <t>SHP.04.LN01.01066A</t>
  </si>
  <si>
    <t>SHIPPING, SHIPPING 04, LINE 01, 01066A; MCP71</t>
  </si>
  <si>
    <t>01066A</t>
  </si>
  <si>
    <t>30SAT401066A</t>
  </si>
  <si>
    <t>1066B</t>
  </si>
  <si>
    <t>SHP.04.LN02.01066B</t>
  </si>
  <si>
    <t>SHIPPING, SHIPPING 04, LINE 02, 01066B; MCP71</t>
  </si>
  <si>
    <t>01066B</t>
  </si>
  <si>
    <t>30SAT401066B</t>
  </si>
  <si>
    <t>1066C</t>
  </si>
  <si>
    <t>SHP.04.LN03.01066C</t>
  </si>
  <si>
    <t>SHIPPING, SHIPPING 04, LINE 03, 01066C; MCP71</t>
  </si>
  <si>
    <t>01066C</t>
  </si>
  <si>
    <t>30SAT401066C</t>
  </si>
  <si>
    <t>1066D</t>
  </si>
  <si>
    <t>SHP.04.LN04.01066D</t>
  </si>
  <si>
    <t>SHIPPING, SHIPPING 04, LINE 04, 01066D; MCP71</t>
  </si>
  <si>
    <t>01066D</t>
  </si>
  <si>
    <t>30SAT401066D</t>
  </si>
  <si>
    <t>E-5135</t>
  </si>
  <si>
    <t>SHP.04.KO.001068</t>
  </si>
  <si>
    <t>SHIPPING, SHIPPING 04, KICKOUT, 001068; TAIL; CP1068 E-5135: MCP71</t>
  </si>
  <si>
    <t>001068</t>
  </si>
  <si>
    <t>30SAT4001068</t>
  </si>
  <si>
    <t>1070</t>
  </si>
  <si>
    <t>E-5132</t>
  </si>
  <si>
    <t>SHP.04.KO.001070</t>
  </si>
  <si>
    <t>SHIPPING, SHIPPING 04, KICKOUT, 001070; TAIL; CP1070 E-5132: MCP71</t>
  </si>
  <si>
    <t>001070</t>
  </si>
  <si>
    <t>30SAT4001070</t>
  </si>
  <si>
    <t>3040.01</t>
  </si>
  <si>
    <t>Flex</t>
  </si>
  <si>
    <t>CONV.FB.FX14A3040-01</t>
  </si>
  <si>
    <t>POWER FLEXED CONVEYOR FX14A3040-01</t>
  </si>
  <si>
    <t>FLEX CONVEYOR</t>
  </si>
  <si>
    <t>751000002108</t>
  </si>
  <si>
    <t>CON.FX14A3040T3A5Z</t>
  </si>
  <si>
    <t>CONVEYX</t>
  </si>
  <si>
    <t>FX14A3040T3A5Z</t>
  </si>
  <si>
    <t>CONV.FB</t>
  </si>
  <si>
    <t>FX14A3040-01</t>
  </si>
  <si>
    <t>3040.02</t>
  </si>
  <si>
    <t>CONV.FB.FX14A3040-02</t>
  </si>
  <si>
    <t>POWER FLEXED CONVEYOR FX14A3040-02</t>
  </si>
  <si>
    <t>751000002109</t>
  </si>
  <si>
    <t>FX14A3040-02</t>
  </si>
  <si>
    <t>3040.03</t>
  </si>
  <si>
    <t>CONV.FB.FX14A3040-03</t>
  </si>
  <si>
    <t>POWER FLEXED CONVEYOR FX14A3040-03</t>
  </si>
  <si>
    <t>751000002110</t>
  </si>
  <si>
    <t>FX14A3040-03</t>
  </si>
  <si>
    <t>3040.04</t>
  </si>
  <si>
    <t>CONV.FB.FX14A3040-04</t>
  </si>
  <si>
    <t>POWER FLEXED CONVEYOR FX14A3040-04</t>
  </si>
  <si>
    <t>751000002111</t>
  </si>
  <si>
    <t>FX14A3040-04</t>
  </si>
  <si>
    <t>3040.05</t>
  </si>
  <si>
    <t>CONV.FB.FX14A3040-05</t>
  </si>
  <si>
    <t>POWER FLEXED CONVEYOR FX14A3040-05</t>
  </si>
  <si>
    <t>751000002112</t>
  </si>
  <si>
    <t>FX14A3040-05</t>
  </si>
  <si>
    <t>3040.06</t>
  </si>
  <si>
    <t>CONV.FB.FX14A3040-06</t>
  </si>
  <si>
    <t>POWER FLEXED CONVEYOR FX14A3040-06</t>
  </si>
  <si>
    <t>751000002113</t>
  </si>
  <si>
    <t>FX14A3040-06</t>
  </si>
  <si>
    <t>3060.01</t>
  </si>
  <si>
    <t>CONV.FB.FX14A3060-01</t>
  </si>
  <si>
    <t>POWER FLEXED CONVEYOR FX14A3060-01</t>
  </si>
  <si>
    <t>751000002114</t>
  </si>
  <si>
    <t>CON.FX14A3060T3A5Z</t>
  </si>
  <si>
    <t>FX14A3060T3A5Z</t>
  </si>
  <si>
    <t>FX14A3060-01</t>
  </si>
  <si>
    <t>3060.02</t>
  </si>
  <si>
    <t>CONV.FB.FX14A3060-02</t>
  </si>
  <si>
    <t>POWER FLEXED CONVEYOR FX14A3060-02</t>
  </si>
  <si>
    <t>751000002115</t>
  </si>
  <si>
    <t>FX14A3060-02</t>
  </si>
  <si>
    <t>3060.03</t>
  </si>
  <si>
    <t>CONV.FB.FX14A3060-03</t>
  </si>
  <si>
    <t>POWER FLEXED CONVEYOR FX14A3060-03</t>
  </si>
  <si>
    <t>751000002116</t>
  </si>
  <si>
    <t>FX14A3060-03</t>
  </si>
  <si>
    <t>3060.04</t>
  </si>
  <si>
    <t>CONV.FB.FX14A3060-04</t>
  </si>
  <si>
    <t>POWER FLEXED CONVEYOR FX14A3060-04</t>
  </si>
  <si>
    <t>751000002117</t>
  </si>
  <si>
    <t>FX14A3060-04</t>
  </si>
  <si>
    <t>3060.05</t>
  </si>
  <si>
    <t>CONV.FB.FX14A3060-05</t>
  </si>
  <si>
    <t>POWER FLEXED CONVEYOR FX14A3060-05</t>
  </si>
  <si>
    <t>751000002118</t>
  </si>
  <si>
    <t>FX14A3060-05</t>
  </si>
  <si>
    <t>3060.06</t>
  </si>
  <si>
    <t>CONV.FB.FX14A3060-06</t>
  </si>
  <si>
    <t>POWER FLEXED CONVEYOR FX14A3060-06</t>
  </si>
  <si>
    <t>751000002119</t>
  </si>
  <si>
    <t>FX14A3060-06</t>
  </si>
  <si>
    <t>3060.07</t>
  </si>
  <si>
    <t>CONV.FB.FX14A3060-07</t>
  </si>
  <si>
    <t>POWER FLEXED CONVEYOR FX14A3060-07</t>
  </si>
  <si>
    <t>751000002120</t>
  </si>
  <si>
    <t>FX14A3060-07</t>
  </si>
  <si>
    <t>3060.08</t>
  </si>
  <si>
    <t>CONV.FB.FX14A3060-08</t>
  </si>
  <si>
    <t>POWER FLEXED CONVEYOR FX14A3060-08</t>
  </si>
  <si>
    <t>751000002121</t>
  </si>
  <si>
    <t>FX14A3060-08</t>
  </si>
  <si>
    <t>3060.09</t>
  </si>
  <si>
    <t>CONV.FB.FX14A3060-09</t>
  </si>
  <si>
    <t>POWER FLEXED CONVEYOR FX14A3060-09</t>
  </si>
  <si>
    <t>751000002122</t>
  </si>
  <si>
    <t>FX14A3060-09</t>
  </si>
  <si>
    <t>3060.10</t>
  </si>
  <si>
    <t>CONV.FB.FX14A3060-10</t>
  </si>
  <si>
    <t>POWER FLEXED CONVEYOR FX14A3060-10</t>
  </si>
  <si>
    <t>751000002123</t>
  </si>
  <si>
    <t>FX14A3060-10</t>
  </si>
  <si>
    <t>3060.11</t>
  </si>
  <si>
    <t>CONV.FB.FX14A3060-11</t>
  </si>
  <si>
    <t>POWER FLEXED CONVEYOR FX14A3060-11</t>
  </si>
  <si>
    <t>751000002124</t>
  </si>
  <si>
    <t>FX14A3060-11</t>
  </si>
  <si>
    <t>3060.12</t>
  </si>
  <si>
    <t>CONV.FB.FX14A3060-12</t>
  </si>
  <si>
    <t>POWER FLEXED CONVEYOR FX14A3060-12</t>
  </si>
  <si>
    <t>751000002125</t>
  </si>
  <si>
    <t>FX14A3060-12</t>
  </si>
  <si>
    <t>CONV.FB.TEMP001</t>
  </si>
  <si>
    <t>POWER FLEXED CONVEYOR 106991-FX14A3040-01-STX6</t>
  </si>
  <si>
    <t>CONVEY.PWRFLEX.01.40X30</t>
  </si>
  <si>
    <t>751000005463</t>
  </si>
  <si>
    <t>106991-FX14A3040-01-STX6</t>
  </si>
  <si>
    <t>CONV.FB.TEMP002</t>
  </si>
  <si>
    <t>POWER FLEXED CONVEYOR 106991-FX14A3040-02-STX6</t>
  </si>
  <si>
    <t>CONVEY.PWRFLEX.02.40X30</t>
  </si>
  <si>
    <t>751000005464</t>
  </si>
  <si>
    <t>106991-FX14A3040-02-STX6</t>
  </si>
  <si>
    <t>CONV.FB.X14A3060-13</t>
  </si>
  <si>
    <t>POWER FLEXED CONVEYOR X14A3060-13</t>
  </si>
  <si>
    <t>751000002126</t>
  </si>
  <si>
    <t>X14A3060-13</t>
  </si>
  <si>
    <t>CONV.FB.X14A3060-14</t>
  </si>
  <si>
    <t>POWER FLEXED CONVEYOR X14A3060-14</t>
  </si>
  <si>
    <t>751000002127</t>
  </si>
  <si>
    <t>X14A3060-14</t>
  </si>
  <si>
    <t>DD260</t>
  </si>
  <si>
    <t>DD259</t>
  </si>
  <si>
    <t>DD258</t>
  </si>
  <si>
    <t>DD257</t>
  </si>
  <si>
    <t>DD256</t>
  </si>
  <si>
    <t>DD255</t>
  </si>
  <si>
    <t>DD254</t>
  </si>
  <si>
    <t>DD253</t>
  </si>
  <si>
    <t>DD252</t>
  </si>
  <si>
    <t>DD251</t>
  </si>
  <si>
    <t>DD250</t>
  </si>
  <si>
    <t>DD249</t>
  </si>
  <si>
    <t>DD248</t>
  </si>
  <si>
    <t>DD247</t>
  </si>
  <si>
    <t>DD246</t>
  </si>
  <si>
    <t>DD245</t>
  </si>
  <si>
    <t>DD244</t>
  </si>
  <si>
    <t>DD243</t>
  </si>
  <si>
    <t>DD242</t>
  </si>
  <si>
    <t>DD241</t>
  </si>
  <si>
    <t>DD240</t>
  </si>
  <si>
    <t>DD239</t>
  </si>
  <si>
    <t>DD238</t>
  </si>
  <si>
    <t>DD237</t>
  </si>
  <si>
    <t>DD236</t>
  </si>
  <si>
    <t>DD235</t>
  </si>
  <si>
    <t>DD234</t>
  </si>
  <si>
    <t>DD233</t>
  </si>
  <si>
    <t>DD232</t>
  </si>
  <si>
    <t>DD231</t>
  </si>
  <si>
    <t>DD230</t>
  </si>
  <si>
    <t>DD229</t>
  </si>
  <si>
    <t>DD228</t>
  </si>
  <si>
    <t>DD227</t>
  </si>
  <si>
    <t>DD226</t>
  </si>
  <si>
    <t>DD225</t>
  </si>
  <si>
    <t>DD224</t>
  </si>
  <si>
    <t>DD223</t>
  </si>
  <si>
    <t>DD222</t>
  </si>
  <si>
    <t>DD221</t>
  </si>
  <si>
    <t>DD220</t>
  </si>
  <si>
    <t>DD219</t>
  </si>
  <si>
    <t>DD218</t>
  </si>
  <si>
    <t>DD217</t>
  </si>
  <si>
    <t>DD216</t>
  </si>
  <si>
    <t>DD215</t>
  </si>
  <si>
    <t>DD214</t>
  </si>
  <si>
    <t>DD213</t>
  </si>
  <si>
    <t>DD212</t>
  </si>
  <si>
    <t>DD211</t>
  </si>
  <si>
    <t>DD210</t>
  </si>
  <si>
    <t>DD209</t>
  </si>
  <si>
    <t>DD208</t>
  </si>
  <si>
    <t>DD207</t>
  </si>
  <si>
    <t>DD206</t>
  </si>
  <si>
    <t>DD205</t>
  </si>
  <si>
    <t>DD204</t>
  </si>
  <si>
    <t>DD203</t>
  </si>
  <si>
    <t>DD202</t>
  </si>
  <si>
    <t>Quick Reference</t>
  </si>
  <si>
    <t>Shortened Alias</t>
  </si>
  <si>
    <t>Control Panel</t>
  </si>
  <si>
    <t>Incident Energy</t>
  </si>
  <si>
    <t>CP Location</t>
  </si>
  <si>
    <t>226c</t>
  </si>
  <si>
    <t>MCP</t>
  </si>
  <si>
    <t>Conveyance Group</t>
  </si>
  <si>
    <t>APM Reference</t>
  </si>
  <si>
    <t>DD136</t>
  </si>
  <si>
    <t>Equipment ID</t>
  </si>
  <si>
    <t>DD135</t>
  </si>
  <si>
    <t>DD134</t>
  </si>
  <si>
    <t>DD133</t>
  </si>
  <si>
    <t>3060.14</t>
  </si>
  <si>
    <t>DD132</t>
  </si>
  <si>
    <t>925.04</t>
  </si>
  <si>
    <t>DD131</t>
  </si>
  <si>
    <t>925.03</t>
  </si>
  <si>
    <t>DD130</t>
  </si>
  <si>
    <t>Non Con</t>
  </si>
  <si>
    <t>923A</t>
  </si>
  <si>
    <t>DD129</t>
  </si>
  <si>
    <t>922.06</t>
  </si>
  <si>
    <t>DD128</t>
  </si>
  <si>
    <t>922.05</t>
  </si>
  <si>
    <t>DD127</t>
  </si>
  <si>
    <t>922.04</t>
  </si>
  <si>
    <t>920B</t>
  </si>
  <si>
    <t>E-5146, E-5147</t>
  </si>
  <si>
    <t>0.13cal/cm2, Unknown</t>
  </si>
  <si>
    <t>E-5144, E-5145</t>
  </si>
  <si>
    <t>0.13 cal/cm², 0.13 cal/cm²</t>
  </si>
  <si>
    <t>DD126</t>
  </si>
  <si>
    <t>DD125</t>
  </si>
  <si>
    <t>DD124</t>
  </si>
  <si>
    <t>DD123</t>
  </si>
  <si>
    <t>DD122</t>
  </si>
  <si>
    <t>DD121</t>
  </si>
  <si>
    <t>DD120</t>
  </si>
  <si>
    <t>DD119</t>
  </si>
  <si>
    <t>DD118</t>
  </si>
  <si>
    <t>DD117</t>
  </si>
  <si>
    <t>DD116</t>
  </si>
  <si>
    <t>DD115</t>
  </si>
  <si>
    <t>DD114</t>
  </si>
  <si>
    <t>DD113</t>
  </si>
  <si>
    <t>DD112</t>
  </si>
  <si>
    <t>DD111</t>
  </si>
  <si>
    <t>DD201</t>
  </si>
  <si>
    <t>DD110</t>
  </si>
  <si>
    <t>DD109</t>
  </si>
  <si>
    <t>DD108</t>
  </si>
  <si>
    <t>DD107</t>
  </si>
  <si>
    <t>DD106</t>
  </si>
  <si>
    <t>DD105</t>
  </si>
  <si>
    <t>DD104</t>
  </si>
  <si>
    <t>DD103</t>
  </si>
  <si>
    <t>DD102</t>
  </si>
  <si>
    <t>DD101</t>
  </si>
  <si>
    <t>EXTEND.PEC.US2191</t>
  </si>
  <si>
    <t>U2191</t>
  </si>
  <si>
    <t>DeStuffIT</t>
  </si>
  <si>
    <t>BELT EXTENDIBLE U2191</t>
  </si>
  <si>
    <t>ENG.RE/DESTUFFIT</t>
  </si>
  <si>
    <t>ENGINEERED LIFTING SYS</t>
  </si>
  <si>
    <t>CONV.BE</t>
  </si>
  <si>
    <t>US000378</t>
  </si>
  <si>
    <t>EXTEND.PEC.US000378</t>
  </si>
  <si>
    <t>BELT EXTENDIBLE US000378</t>
  </si>
  <si>
    <t>Re/DeStuffit</t>
  </si>
  <si>
    <t>171000000132</t>
  </si>
  <si>
    <t>CONV.BE.2200EE24</t>
  </si>
  <si>
    <t>GORBEL CBC AE-DT24081-H-I 2200EE24</t>
  </si>
  <si>
    <t>GORBEL CBC AE-DT24081-H-I</t>
  </si>
  <si>
    <t>GR1.AE-0T24081-H-L</t>
  </si>
  <si>
    <t>GORBEL</t>
  </si>
  <si>
    <t>AE-0T24081-H-L</t>
  </si>
  <si>
    <t>2200EE24</t>
  </si>
  <si>
    <t>CONV.FB.121910-FX14A30213A5ZV3</t>
  </si>
  <si>
    <t>POWER FLEXED CONVEYOR 121910-FX14A30213A5ZV3E-01-SAT4</t>
  </si>
  <si>
    <t>751000015185</t>
  </si>
  <si>
    <t>CON.FX14A30215A5ZV3E</t>
  </si>
  <si>
    <t>FX14A30215A5ZV3E</t>
  </si>
  <si>
    <t>121910-FX14A30213A5ZV3E-01-SAT4</t>
  </si>
  <si>
    <t>30213A5ZV3</t>
  </si>
  <si>
    <t>3060-13</t>
  </si>
  <si>
    <t>3060-14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</si>
</sst>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 tint="0.499984740745262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color theme="0" tint="-0.499984740745262"/>
      <name val="Calibri"/>
      <family val="2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name val="Calibri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FF0000"/>
      <name val="Calibri"/>
      <family val="2"/>
    </font>
    <font>
      <sz val="11"/>
      <color indexed="8"/>
      <name val="Aptos Narrow"/>
      <family val="2"/>
      <scheme val="minor"/>
    </font>
    <font>
      <sz val="11"/>
      <color rgb="FF000000"/>
      <name val="Aptos Narrow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darkHorizontal">
        <bgColor theme="0" tint="-0.499984740745262"/>
      </patternFill>
    </fill>
    <fill>
      <patternFill patternType="solid">
        <fgColor theme="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gray0625">
        <bgColor theme="0" tint="-0.499984740745262"/>
      </patternFill>
    </fill>
    <fill>
      <patternFill patternType="solid">
        <fgColor rgb="FFFF0000"/>
        <bgColor indexed="64"/>
      </patternFill>
    </fill>
  </fills>
  <borders count="6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Dashed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Dashed">
        <color indexed="64"/>
      </right>
      <top style="thick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5" fillId="0" borderId="0"/>
  </cellStyleXfs>
  <cellXfs count="166">
    <xf numFmtId="0" fontId="0" fillId="0" borderId="0" xfId="0"/>
    <xf numFmtId="49" fontId="2" fillId="2" borderId="24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horizontal="center" vertical="center"/>
    </xf>
    <xf numFmtId="49" fontId="2" fillId="4" borderId="3" xfId="1" applyNumberFormat="1" applyFont="1" applyFill="1" applyBorder="1" applyAlignment="1">
      <alignment horizontal="center" vertical="center"/>
    </xf>
    <xf numFmtId="49" fontId="4" fillId="4" borderId="3" xfId="0" applyNumberFormat="1" applyFont="1" applyFill="1" applyBorder="1" applyAlignment="1">
      <alignment horizontal="center" vertical="center"/>
    </xf>
    <xf numFmtId="49" fontId="2" fillId="5" borderId="0" xfId="0" applyNumberFormat="1" applyFont="1" applyFill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2" fillId="6" borderId="3" xfId="0" applyNumberFormat="1" applyFont="1" applyFill="1" applyBorder="1" applyAlignment="1">
      <alignment horizontal="center" vertical="center"/>
    </xf>
    <xf numFmtId="49" fontId="2" fillId="6" borderId="3" xfId="0" applyNumberFormat="1" applyFont="1" applyFill="1" applyBorder="1" applyAlignment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/>
    </xf>
    <xf numFmtId="49" fontId="2" fillId="2" borderId="16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49" fontId="7" fillId="2" borderId="18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 wrapText="1"/>
    </xf>
    <xf numFmtId="49" fontId="3" fillId="2" borderId="18" xfId="0" applyNumberFormat="1" applyFont="1" applyFill="1" applyBorder="1" applyAlignment="1">
      <alignment horizontal="center" vertical="center"/>
    </xf>
    <xf numFmtId="49" fontId="2" fillId="5" borderId="23" xfId="0" applyNumberFormat="1" applyFont="1" applyFill="1" applyBorder="1" applyAlignment="1">
      <alignment horizontal="center" vertical="center"/>
    </xf>
    <xf numFmtId="49" fontId="0" fillId="12" borderId="31" xfId="0" applyNumberFormat="1" applyFill="1" applyBorder="1"/>
    <xf numFmtId="49" fontId="0" fillId="12" borderId="32" xfId="0" applyNumberFormat="1" applyFill="1" applyBorder="1"/>
    <xf numFmtId="49" fontId="0" fillId="12" borderId="33" xfId="0" applyNumberFormat="1" applyFill="1" applyBorder="1"/>
    <xf numFmtId="49" fontId="0" fillId="5" borderId="0" xfId="0" applyNumberFormat="1" applyFill="1" applyAlignment="1">
      <alignment horizontal="center" vertical="center"/>
    </xf>
    <xf numFmtId="49" fontId="0" fillId="9" borderId="0" xfId="0" applyNumberFormat="1" applyFill="1"/>
    <xf numFmtId="49" fontId="0" fillId="12" borderId="34" xfId="0" applyNumberFormat="1" applyFill="1" applyBorder="1"/>
    <xf numFmtId="49" fontId="0" fillId="12" borderId="35" xfId="0" applyNumberFormat="1" applyFill="1" applyBorder="1"/>
    <xf numFmtId="49" fontId="0" fillId="10" borderId="45" xfId="0" applyNumberFormat="1" applyFill="1" applyBorder="1"/>
    <xf numFmtId="49" fontId="0" fillId="12" borderId="39" xfId="0" applyNumberFormat="1" applyFill="1" applyBorder="1"/>
    <xf numFmtId="49" fontId="0" fillId="10" borderId="0" xfId="0" applyNumberFormat="1" applyFill="1"/>
    <xf numFmtId="49" fontId="0" fillId="12" borderId="40" xfId="0" applyNumberFormat="1" applyFill="1" applyBorder="1"/>
    <xf numFmtId="49" fontId="0" fillId="12" borderId="0" xfId="0" applyNumberFormat="1" applyFill="1"/>
    <xf numFmtId="49" fontId="0" fillId="12" borderId="36" xfId="0" applyNumberFormat="1" applyFill="1" applyBorder="1"/>
    <xf numFmtId="49" fontId="0" fillId="12" borderId="37" xfId="0" applyNumberFormat="1" applyFill="1" applyBorder="1"/>
    <xf numFmtId="49" fontId="0" fillId="12" borderId="38" xfId="0" applyNumberFormat="1" applyFill="1" applyBorder="1"/>
    <xf numFmtId="0" fontId="0" fillId="10" borderId="44" xfId="0" applyFill="1" applyBorder="1"/>
    <xf numFmtId="0" fontId="9" fillId="10" borderId="44" xfId="0" applyFont="1" applyFill="1" applyBorder="1" applyAlignment="1">
      <alignment wrapText="1"/>
    </xf>
    <xf numFmtId="49" fontId="8" fillId="10" borderId="47" xfId="0" applyNumberFormat="1" applyFont="1" applyFill="1" applyBorder="1"/>
    <xf numFmtId="49" fontId="8" fillId="10" borderId="33" xfId="0" applyNumberFormat="1" applyFont="1" applyFill="1" applyBorder="1" applyAlignment="1">
      <alignment horizontal="left"/>
    </xf>
    <xf numFmtId="49" fontId="8" fillId="10" borderId="45" xfId="0" applyNumberFormat="1" applyFont="1" applyFill="1" applyBorder="1"/>
    <xf numFmtId="0" fontId="8" fillId="10" borderId="44" xfId="0" applyFont="1" applyFill="1" applyBorder="1"/>
    <xf numFmtId="49" fontId="8" fillId="10" borderId="34" xfId="0" applyNumberFormat="1" applyFont="1" applyFill="1" applyBorder="1"/>
    <xf numFmtId="49" fontId="0" fillId="13" borderId="0" xfId="0" applyNumberFormat="1" applyFill="1"/>
    <xf numFmtId="0" fontId="9" fillId="10" borderId="46" xfId="0" applyFont="1" applyFill="1" applyBorder="1"/>
    <xf numFmtId="49" fontId="9" fillId="10" borderId="41" xfId="0" applyNumberFormat="1" applyFont="1" applyFill="1" applyBorder="1"/>
    <xf numFmtId="49" fontId="9" fillId="10" borderId="45" xfId="0" applyNumberFormat="1" applyFont="1" applyFill="1" applyBorder="1"/>
    <xf numFmtId="49" fontId="9" fillId="10" borderId="42" xfId="0" applyNumberFormat="1" applyFont="1" applyFill="1" applyBorder="1"/>
    <xf numFmtId="49" fontId="9" fillId="10" borderId="43" xfId="0" applyNumberFormat="1" applyFont="1" applyFill="1" applyBorder="1"/>
    <xf numFmtId="0" fontId="13" fillId="10" borderId="44" xfId="0" applyFont="1" applyFill="1" applyBorder="1" applyAlignment="1">
      <alignment wrapText="1"/>
    </xf>
    <xf numFmtId="49" fontId="2" fillId="9" borderId="0" xfId="0" applyNumberFormat="1" applyFont="1" applyFill="1" applyAlignment="1">
      <alignment horizontal="center" vertical="center"/>
    </xf>
    <xf numFmtId="49" fontId="2" fillId="4" borderId="1" xfId="0" applyNumberFormat="1" applyFont="1" applyFill="1" applyBorder="1" applyAlignment="1">
      <alignment vertical="center"/>
    </xf>
    <xf numFmtId="49" fontId="0" fillId="14" borderId="3" xfId="0" applyNumberFormat="1" applyFill="1" applyBorder="1"/>
    <xf numFmtId="49" fontId="0" fillId="9" borderId="49" xfId="0" applyNumberFormat="1" applyFill="1" applyBorder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vertical="center"/>
    </xf>
    <xf numFmtId="49" fontId="2" fillId="4" borderId="5" xfId="0" applyNumberFormat="1" applyFont="1" applyFill="1" applyBorder="1" applyAlignment="1">
      <alignment horizontal="center" vertical="center"/>
    </xf>
    <xf numFmtId="49" fontId="2" fillId="5" borderId="55" xfId="0" applyNumberFormat="1" applyFont="1" applyFill="1" applyBorder="1" applyAlignment="1">
      <alignment horizontal="center" vertical="center"/>
    </xf>
    <xf numFmtId="49" fontId="2" fillId="15" borderId="3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0" fillId="14" borderId="7" xfId="0" applyNumberFormat="1" applyFill="1" applyBorder="1"/>
    <xf numFmtId="49" fontId="2" fillId="15" borderId="4" xfId="0" applyNumberFormat="1" applyFont="1" applyFill="1" applyBorder="1" applyAlignment="1">
      <alignment horizontal="center" vertical="center"/>
    </xf>
    <xf numFmtId="49" fontId="2" fillId="3" borderId="5" xfId="0" applyNumberFormat="1" applyFont="1" applyFill="1" applyBorder="1" applyAlignment="1">
      <alignment horizontal="center" vertical="center"/>
    </xf>
    <xf numFmtId="49" fontId="2" fillId="3" borderId="7" xfId="0" applyNumberFormat="1" applyFont="1" applyFill="1" applyBorder="1" applyAlignment="1">
      <alignment horizontal="center" vertical="center"/>
    </xf>
    <xf numFmtId="49" fontId="2" fillId="5" borderId="64" xfId="0" applyNumberFormat="1" applyFont="1" applyFill="1" applyBorder="1" applyAlignment="1">
      <alignment horizontal="center" vertical="center"/>
    </xf>
    <xf numFmtId="49" fontId="2" fillId="5" borderId="63" xfId="0" applyNumberFormat="1" applyFont="1" applyFill="1" applyBorder="1" applyAlignment="1">
      <alignment horizontal="center" vertical="center"/>
    </xf>
    <xf numFmtId="49" fontId="0" fillId="16" borderId="50" xfId="0" applyNumberFormat="1" applyFill="1" applyBorder="1" applyAlignment="1">
      <alignment horizontal="center" vertical="center"/>
    </xf>
    <xf numFmtId="49" fontId="0" fillId="14" borderId="3" xfId="0" applyNumberFormat="1" applyFill="1" applyBorder="1" applyAlignment="1">
      <alignment horizontal="center" vertical="center"/>
    </xf>
    <xf numFmtId="49" fontId="0" fillId="14" borderId="1" xfId="0" applyNumberFormat="1" applyFill="1" applyBorder="1" applyAlignment="1">
      <alignment horizontal="center" vertical="center"/>
    </xf>
    <xf numFmtId="49" fontId="2" fillId="16" borderId="50" xfId="0" applyNumberFormat="1" applyFont="1" applyFill="1" applyBorder="1" applyAlignment="1">
      <alignment horizontal="center" vertical="center"/>
    </xf>
    <xf numFmtId="49" fontId="0" fillId="13" borderId="65" xfId="0" applyNumberFormat="1" applyFill="1" applyBorder="1"/>
    <xf numFmtId="49" fontId="0" fillId="9" borderId="0" xfId="0" applyNumberFormat="1" applyFill="1" applyAlignment="1">
      <alignment horizontal="center"/>
    </xf>
    <xf numFmtId="49" fontId="10" fillId="11" borderId="32" xfId="0" applyNumberFormat="1" applyFont="1" applyFill="1" applyBorder="1" applyAlignment="1">
      <alignment horizontal="center"/>
    </xf>
    <xf numFmtId="49" fontId="10" fillId="11" borderId="33" xfId="0" applyNumberFormat="1" applyFont="1" applyFill="1" applyBorder="1" applyAlignment="1">
      <alignment horizontal="center"/>
    </xf>
    <xf numFmtId="49" fontId="10" fillId="11" borderId="36" xfId="0" applyNumberFormat="1" applyFont="1" applyFill="1" applyBorder="1" applyAlignment="1">
      <alignment horizontal="center"/>
    </xf>
    <xf numFmtId="49" fontId="10" fillId="11" borderId="38" xfId="0" applyNumberFormat="1" applyFont="1" applyFill="1" applyBorder="1" applyAlignment="1">
      <alignment horizont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11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10" xfId="0" applyNumberFormat="1" applyFon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6" fillId="8" borderId="8" xfId="0" applyNumberFormat="1" applyFont="1" applyFill="1" applyBorder="1" applyAlignment="1">
      <alignment horizontal="center" vertical="center"/>
    </xf>
    <xf numFmtId="49" fontId="6" fillId="8" borderId="11" xfId="0" applyNumberFormat="1" applyFont="1" applyFill="1" applyBorder="1" applyAlignment="1">
      <alignment horizontal="center" vertical="center"/>
    </xf>
    <xf numFmtId="49" fontId="6" fillId="8" borderId="9" xfId="0" applyNumberFormat="1" applyFont="1" applyFill="1" applyBorder="1" applyAlignment="1">
      <alignment horizontal="center" vertical="center"/>
    </xf>
    <xf numFmtId="49" fontId="14" fillId="16" borderId="60" xfId="0" applyNumberFormat="1" applyFont="1" applyFill="1" applyBorder="1" applyAlignment="1">
      <alignment horizontal="center" vertical="center"/>
    </xf>
    <xf numFmtId="49" fontId="14" fillId="16" borderId="61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4" borderId="8" xfId="0" applyNumberFormat="1" applyFont="1" applyFill="1" applyBorder="1" applyAlignment="1">
      <alignment horizontal="center" vertical="center"/>
    </xf>
    <xf numFmtId="49" fontId="2" fillId="4" borderId="9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5" fillId="7" borderId="6" xfId="0" applyNumberFormat="1" applyFont="1" applyFill="1" applyBorder="1" applyAlignment="1">
      <alignment horizontal="center" vertical="center"/>
    </xf>
    <xf numFmtId="49" fontId="5" fillId="7" borderId="10" xfId="0" applyNumberFormat="1" applyFont="1" applyFill="1" applyBorder="1" applyAlignment="1">
      <alignment horizontal="center" vertical="center"/>
    </xf>
    <xf numFmtId="49" fontId="5" fillId="7" borderId="13" xfId="0" applyNumberFormat="1" applyFont="1" applyFill="1" applyBorder="1" applyAlignment="1">
      <alignment horizontal="center" vertical="center"/>
    </xf>
    <xf numFmtId="49" fontId="5" fillId="7" borderId="7" xfId="0" applyNumberFormat="1" applyFont="1" applyFill="1" applyBorder="1" applyAlignment="1">
      <alignment horizontal="center" vertical="center"/>
    </xf>
    <xf numFmtId="49" fontId="5" fillId="7" borderId="12" xfId="0" applyNumberFormat="1" applyFont="1" applyFill="1" applyBorder="1" applyAlignment="1">
      <alignment horizontal="center" vertical="center"/>
    </xf>
    <xf numFmtId="49" fontId="5" fillId="7" borderId="5" xfId="0" applyNumberFormat="1" applyFont="1" applyFill="1" applyBorder="1" applyAlignment="1">
      <alignment horizontal="center" vertical="center"/>
    </xf>
    <xf numFmtId="49" fontId="2" fillId="6" borderId="7" xfId="0" applyNumberFormat="1" applyFont="1" applyFill="1" applyBorder="1" applyAlignment="1">
      <alignment horizontal="center" vertical="center"/>
    </xf>
    <xf numFmtId="49" fontId="2" fillId="6" borderId="12" xfId="0" applyNumberFormat="1" applyFont="1" applyFill="1" applyBorder="1" applyAlignment="1">
      <alignment horizontal="center" vertical="center"/>
    </xf>
    <xf numFmtId="49" fontId="2" fillId="6" borderId="5" xfId="0" applyNumberFormat="1" applyFont="1" applyFill="1" applyBorder="1" applyAlignment="1">
      <alignment horizontal="center" vertical="center"/>
    </xf>
    <xf numFmtId="49" fontId="2" fillId="4" borderId="11" xfId="0" applyNumberFormat="1" applyFont="1" applyFill="1" applyBorder="1" applyAlignment="1">
      <alignment horizontal="center" vertical="center"/>
    </xf>
    <xf numFmtId="49" fontId="2" fillId="2" borderId="19" xfId="0" applyNumberFormat="1" applyFont="1" applyFill="1" applyBorder="1" applyAlignment="1">
      <alignment horizontal="center" vertical="center"/>
    </xf>
    <xf numFmtId="49" fontId="2" fillId="2" borderId="2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4" borderId="7" xfId="0" applyNumberFormat="1" applyFont="1" applyFill="1" applyBorder="1" applyAlignment="1">
      <alignment horizontal="center" vertical="center"/>
    </xf>
    <xf numFmtId="49" fontId="2" fillId="4" borderId="12" xfId="0" applyNumberFormat="1" applyFont="1" applyFill="1" applyBorder="1" applyAlignment="1">
      <alignment horizontal="center" vertical="center"/>
    </xf>
    <xf numFmtId="49" fontId="2" fillId="4" borderId="5" xfId="0" applyNumberFormat="1" applyFont="1" applyFill="1" applyBorder="1" applyAlignment="1">
      <alignment horizontal="center" vertical="center"/>
    </xf>
    <xf numFmtId="49" fontId="2" fillId="4" borderId="6" xfId="0" applyNumberFormat="1" applyFont="1" applyFill="1" applyBorder="1" applyAlignment="1">
      <alignment horizontal="center" vertical="center"/>
    </xf>
    <xf numFmtId="49" fontId="2" fillId="4" borderId="10" xfId="0" applyNumberFormat="1" applyFont="1" applyFill="1" applyBorder="1" applyAlignment="1">
      <alignment horizontal="center" vertical="center"/>
    </xf>
    <xf numFmtId="49" fontId="2" fillId="4" borderId="13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15" xfId="0" applyNumberFormat="1" applyFont="1" applyFill="1" applyBorder="1" applyAlignment="1">
      <alignment horizontal="center" vertical="center"/>
    </xf>
    <xf numFmtId="49" fontId="2" fillId="16" borderId="51" xfId="0" applyNumberFormat="1" applyFont="1" applyFill="1" applyBorder="1" applyAlignment="1">
      <alignment horizontal="center" vertical="center"/>
    </xf>
    <xf numFmtId="49" fontId="2" fillId="16" borderId="52" xfId="0" applyNumberFormat="1" applyFont="1" applyFill="1" applyBorder="1" applyAlignment="1">
      <alignment horizontal="center" vertical="center"/>
    </xf>
    <xf numFmtId="49" fontId="2" fillId="16" borderId="53" xfId="0" applyNumberFormat="1" applyFont="1" applyFill="1" applyBorder="1" applyAlignment="1">
      <alignment horizontal="center" vertical="center"/>
    </xf>
    <xf numFmtId="49" fontId="2" fillId="16" borderId="56" xfId="0" applyNumberFormat="1" applyFont="1" applyFill="1" applyBorder="1" applyAlignment="1">
      <alignment horizontal="center" vertical="center"/>
    </xf>
    <xf numFmtId="49" fontId="2" fillId="16" borderId="57" xfId="0" applyNumberFormat="1" applyFont="1" applyFill="1" applyBorder="1" applyAlignment="1">
      <alignment horizontal="center" vertical="center"/>
    </xf>
    <xf numFmtId="49" fontId="0" fillId="16" borderId="51" xfId="0" applyNumberFormat="1" applyFill="1" applyBorder="1" applyAlignment="1">
      <alignment horizontal="center"/>
    </xf>
    <xf numFmtId="49" fontId="0" fillId="16" borderId="52" xfId="0" applyNumberFormat="1" applyFill="1" applyBorder="1" applyAlignment="1">
      <alignment horizontal="center"/>
    </xf>
    <xf numFmtId="49" fontId="0" fillId="16" borderId="53" xfId="0" applyNumberFormat="1" applyFill="1" applyBorder="1" applyAlignment="1">
      <alignment horizontal="center"/>
    </xf>
    <xf numFmtId="49" fontId="2" fillId="16" borderId="55" xfId="0" applyNumberFormat="1" applyFont="1" applyFill="1" applyBorder="1" applyAlignment="1">
      <alignment horizontal="center" vertical="center"/>
    </xf>
    <xf numFmtId="49" fontId="2" fillId="2" borderId="17" xfId="0" applyNumberFormat="1" applyFont="1" applyFill="1" applyBorder="1" applyAlignment="1">
      <alignment horizontal="center" vertical="center"/>
    </xf>
    <xf numFmtId="49" fontId="2" fillId="2" borderId="20" xfId="0" applyNumberFormat="1" applyFont="1" applyFill="1" applyBorder="1" applyAlignment="1">
      <alignment horizontal="center" vertical="center"/>
    </xf>
    <xf numFmtId="49" fontId="6" fillId="8" borderId="2" xfId="0" applyNumberFormat="1" applyFont="1" applyFill="1" applyBorder="1" applyAlignment="1">
      <alignment horizontal="center" vertical="center"/>
    </xf>
    <xf numFmtId="49" fontId="6" fillId="8" borderId="4" xfId="0" applyNumberFormat="1" applyFont="1" applyFill="1" applyBorder="1" applyAlignment="1">
      <alignment horizontal="center" vertical="center"/>
    </xf>
    <xf numFmtId="49" fontId="6" fillId="8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16" borderId="56" xfId="0" applyNumberFormat="1" applyFill="1" applyBorder="1" applyAlignment="1">
      <alignment horizontal="center" vertical="center"/>
    </xf>
    <xf numFmtId="49" fontId="0" fillId="16" borderId="57" xfId="0" applyNumberFormat="1" applyFill="1" applyBorder="1" applyAlignment="1">
      <alignment horizontal="center" vertical="center"/>
    </xf>
    <xf numFmtId="49" fontId="0" fillId="16" borderId="58" xfId="0" applyNumberFormat="1" applyFill="1" applyBorder="1" applyAlignment="1">
      <alignment horizontal="center" vertical="center"/>
    </xf>
    <xf numFmtId="49" fontId="0" fillId="16" borderId="51" xfId="0" applyNumberFormat="1" applyFill="1" applyBorder="1" applyAlignment="1">
      <alignment horizontal="center" vertical="center"/>
    </xf>
    <xf numFmtId="49" fontId="0" fillId="16" borderId="52" xfId="0" applyNumberFormat="1" applyFill="1" applyBorder="1" applyAlignment="1">
      <alignment horizontal="center" vertical="center"/>
    </xf>
    <xf numFmtId="49" fontId="0" fillId="16" borderId="53" xfId="0" applyNumberFormat="1" applyFill="1" applyBorder="1" applyAlignment="1">
      <alignment horizontal="center" vertical="center"/>
    </xf>
    <xf numFmtId="49" fontId="2" fillId="2" borderId="26" xfId="0" applyNumberFormat="1" applyFont="1" applyFill="1" applyBorder="1" applyAlignment="1">
      <alignment horizontal="center" vertical="center"/>
    </xf>
    <xf numFmtId="49" fontId="2" fillId="2" borderId="27" xfId="0" applyNumberFormat="1" applyFont="1" applyFill="1" applyBorder="1" applyAlignment="1">
      <alignment horizontal="center" vertical="center"/>
    </xf>
    <xf numFmtId="49" fontId="2" fillId="2" borderId="28" xfId="0" applyNumberFormat="1" applyFont="1" applyFill="1" applyBorder="1" applyAlignment="1">
      <alignment horizontal="center" vertical="center"/>
    </xf>
    <xf numFmtId="49" fontId="2" fillId="2" borderId="16" xfId="0" applyNumberFormat="1" applyFont="1" applyFill="1" applyBorder="1" applyAlignment="1">
      <alignment horizontal="center" vertical="center"/>
    </xf>
    <xf numFmtId="49" fontId="2" fillId="2" borderId="25" xfId="0" applyNumberFormat="1" applyFont="1" applyFill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49" fontId="4" fillId="4" borderId="4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29" xfId="0" applyNumberFormat="1" applyFont="1" applyFill="1" applyBorder="1" applyAlignment="1">
      <alignment horizontal="center" vertical="center"/>
    </xf>
    <xf numFmtId="49" fontId="2" fillId="2" borderId="30" xfId="0" applyNumberFormat="1" applyFont="1" applyFill="1" applyBorder="1" applyAlignment="1">
      <alignment horizontal="center" vertical="center"/>
    </xf>
    <xf numFmtId="49" fontId="2" fillId="16" borderId="58" xfId="0" applyNumberFormat="1" applyFont="1" applyFill="1" applyBorder="1" applyAlignment="1">
      <alignment horizontal="center" vertical="center"/>
    </xf>
    <xf numFmtId="49" fontId="2" fillId="16" borderId="54" xfId="0" applyNumberFormat="1" applyFont="1" applyFill="1" applyBorder="1" applyAlignment="1">
      <alignment horizontal="center" vertical="center"/>
    </xf>
    <xf numFmtId="49" fontId="2" fillId="16" borderId="59" xfId="0" applyNumberFormat="1" applyFont="1" applyFill="1" applyBorder="1" applyAlignment="1">
      <alignment horizontal="center" vertical="center"/>
    </xf>
    <xf numFmtId="49" fontId="2" fillId="16" borderId="62" xfId="0" applyNumberFormat="1" applyFont="1" applyFill="1" applyBorder="1" applyAlignment="1">
      <alignment horizontal="center" vertical="center"/>
    </xf>
    <xf numFmtId="49" fontId="0" fillId="0" borderId="0" xfId="0" applyNumberFormat="1" applyFill="1"/>
    <xf numFmtId="0" fontId="11" fillId="0" borderId="48" xfId="0" applyFont="1" applyFill="1" applyBorder="1"/>
    <xf numFmtId="49" fontId="11" fillId="0" borderId="48" xfId="0" applyNumberFormat="1" applyFont="1" applyFill="1" applyBorder="1"/>
    <xf numFmtId="0" fontId="0" fillId="0" borderId="48" xfId="0" applyFill="1" applyBorder="1" applyAlignment="1">
      <alignment wrapText="1"/>
    </xf>
    <xf numFmtId="49" fontId="0" fillId="0" borderId="48" xfId="0" applyNumberFormat="1" applyFill="1" applyBorder="1" applyAlignment="1">
      <alignment wrapText="1"/>
    </xf>
    <xf numFmtId="49" fontId="0" fillId="0" borderId="0" xfId="0" quotePrefix="1" applyNumberFormat="1" applyFill="1"/>
    <xf numFmtId="49" fontId="0" fillId="0" borderId="0" xfId="0" applyNumberFormat="1" applyFill="1" applyAlignment="1">
      <alignment horizontal="left"/>
    </xf>
    <xf numFmtId="0" fontId="15" fillId="0" borderId="48" xfId="2" applyFill="1" applyBorder="1" applyAlignment="1">
      <alignment wrapText="1"/>
    </xf>
    <xf numFmtId="49" fontId="15" fillId="0" borderId="48" xfId="2" applyNumberFormat="1" applyFill="1" applyBorder="1" applyAlignment="1">
      <alignment wrapText="1"/>
    </xf>
    <xf numFmtId="0" fontId="15" fillId="13" borderId="48" xfId="2" applyFill="1" applyBorder="1" applyAlignment="1">
      <alignment wrapText="1"/>
    </xf>
    <xf numFmtId="49" fontId="15" fillId="13" borderId="48" xfId="2" applyNumberFormat="1" applyFill="1" applyBorder="1" applyAlignment="1">
      <alignment wrapText="1"/>
    </xf>
  </cellXfs>
  <cellStyles count="3">
    <cellStyle name="Currency" xfId="1" builtinId="4"/>
    <cellStyle name="Normal" xfId="0" builtinId="0"/>
    <cellStyle name="Normal 2" xfId="2" xr:uid="{3EB4BE60-2C4A-43EE-83F4-37FD1382C5D6}"/>
  </cellStyles>
  <dxfs count="19"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0A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0</xdr:row>
          <xdr:rowOff>0</xdr:rowOff>
        </xdr:from>
        <xdr:to>
          <xdr:col>2</xdr:col>
          <xdr:colOff>1409700</xdr:colOff>
          <xdr:row>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Trashline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57150</xdr:rowOff>
        </xdr:from>
        <xdr:to>
          <xdr:col>2</xdr:col>
          <xdr:colOff>1409700</xdr:colOff>
          <xdr:row>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Receiving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0</xdr:row>
          <xdr:rowOff>9525</xdr:rowOff>
        </xdr:from>
        <xdr:to>
          <xdr:col>1</xdr:col>
          <xdr:colOff>1209675</xdr:colOff>
          <xdr:row>1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Upack 1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66675</xdr:rowOff>
        </xdr:from>
        <xdr:to>
          <xdr:col>1</xdr:col>
          <xdr:colOff>1200150</xdr:colOff>
          <xdr:row>2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Upack 2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123825</xdr:rowOff>
        </xdr:from>
        <xdr:to>
          <xdr:col>1</xdr:col>
          <xdr:colOff>1200150</xdr:colOff>
          <xdr:row>3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Upack 3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2</xdr:row>
          <xdr:rowOff>114300</xdr:rowOff>
        </xdr:from>
        <xdr:to>
          <xdr:col>2</xdr:col>
          <xdr:colOff>1409700</xdr:colOff>
          <xdr:row>3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Tail Sort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Trashline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5FFAA9B-D7A2-411E-9B3D-1B7850FF507F}" autoFormatId="16" applyNumberFormats="0" applyBorderFormats="0" applyFontFormats="0" applyPatternFormats="0" applyAlignmentFormats="0" applyWidthHeightFormats="0">
  <queryTableRefresh nextId="19" unboundColumnsRight="11">
    <queryTableFields count="17"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840E1-C905-4415-B538-0F5652BDC3AE}" name="tblConveyors" displayName="tblConveyors" ref="A1:Q464" tableType="queryTable" totalsRowShown="0" headerRowDxfId="1" dataDxfId="0">
  <autoFilter ref="A1:Q464" xr:uid="{484840E1-C905-4415-B538-0F5652BDC3AE}"/>
  <tableColumns count="17">
    <tableColumn id="2" xr3:uid="{1E79D04C-1C7B-44F9-B178-F95BBFEA495B}" uniqueName="2" name="section_alias" queryTableFieldId="2" dataDxfId="18"/>
    <tableColumn id="3" xr3:uid="{0909345E-A269-4206-B72F-DE062733D8E0}" uniqueName="3" name="conveyance_group" queryTableFieldId="3" dataDxfId="17"/>
    <tableColumn id="4" xr3:uid="{4156EF7A-092D-489F-AF68-C4042047887B}" uniqueName="4" name="control_panel" queryTableFieldId="4" dataDxfId="16"/>
    <tableColumn id="5" xr3:uid="{4BA7DEE8-AEBC-446C-8A3D-35AA4F1F9E55}" uniqueName="5" name="cp_location" queryTableFieldId="5" dataDxfId="15"/>
    <tableColumn id="6" xr3:uid="{FE7687F2-D493-4B5F-BFD9-61C764396CC7}" uniqueName="6" name="incident_energy" queryTableFieldId="6" dataDxfId="14"/>
    <tableColumn id="7" xr3:uid="{14F6A5AC-F2FB-4A00-A334-69F74D382C97}" uniqueName="7" name="mcp" queryTableFieldId="7" dataDxfId="13"/>
    <tableColumn id="8" xr3:uid="{F0E313C4-8E9B-448D-8EAF-746E0F3EF6F3}" uniqueName="8" name="Position" queryTableFieldId="8" dataDxfId="12"/>
    <tableColumn id="9" xr3:uid="{59141C6B-5916-48EB-93B8-9B065D03D5CC}" uniqueName="9" name="Description" queryTableFieldId="9" dataDxfId="11"/>
    <tableColumn id="10" xr3:uid="{089153D0-8F67-49F5-82D7-64C30514224A}" uniqueName="10" name="Amazon Alias" queryTableFieldId="10" dataDxfId="10"/>
    <tableColumn id="11" xr3:uid="{183DAF56-1204-4FFE-9112-D38B97ACE2DC}" uniqueName="11" name="Amazon Alias Description" queryTableFieldId="11" dataDxfId="9"/>
    <tableColumn id="12" xr3:uid="{8243198B-A4DF-4A91-8CF2-5591CEC089AD}" uniqueName="12" name="Equipment Configuration" queryTableFieldId="12" dataDxfId="8"/>
    <tableColumn id="13" xr3:uid="{EE25C311-DF24-45CC-B052-A692F021AAC7}" uniqueName="13" name="Manufacturer" queryTableFieldId="13" dataDxfId="7"/>
    <tableColumn id="14" xr3:uid="{8F9FD1F1-4572-4894-A146-590FA9A36709}" uniqueName="14" name="Model" queryTableFieldId="14" dataDxfId="6"/>
    <tableColumn id="15" xr3:uid="{92540D65-A226-4DB9-B8D5-F2D837AFB126}" uniqueName="15" name="Class" queryTableFieldId="15" dataDxfId="5"/>
    <tableColumn id="16" xr3:uid="{03F3A487-0B31-49B8-95A7-99D5C78203E8}" uniqueName="16" name="Category" queryTableFieldId="16" dataDxfId="4"/>
    <tableColumn id="17" xr3:uid="{1886D9DD-1128-4715-B66F-C2A9676A789F}" uniqueName="17" name="NA EAM Object Code" queryTableFieldId="17" dataDxfId="3"/>
    <tableColumn id="1" xr3:uid="{83D8AD71-3E4B-4252-B3D8-DFB1B21D949C}" uniqueName="1" name="Serial Number" queryTableFieldId="18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1ED10-47E6-4855-BE0A-FC2940374B3C}">
  <sheetPr codeName="Sheet1"/>
  <dimension ref="A1:Q465"/>
  <sheetViews>
    <sheetView tabSelected="1" topLeftCell="A455" zoomScale="85" zoomScaleNormal="85" workbookViewId="0">
      <selection activeCell="A460" sqref="A460"/>
    </sheetView>
  </sheetViews>
  <sheetFormatPr defaultRowHeight="15" x14ac:dyDescent="0.25"/>
  <cols>
    <col min="1" max="1" width="14.7109375" style="155" bestFit="1" customWidth="1"/>
    <col min="2" max="2" width="20.140625" style="155" bestFit="1" customWidth="1"/>
    <col min="3" max="3" width="15.7109375" style="155" customWidth="1"/>
    <col min="4" max="4" width="13.42578125" style="155" bestFit="1" customWidth="1"/>
    <col min="5" max="5" width="24.140625" style="155" bestFit="1" customWidth="1"/>
    <col min="6" max="6" width="8.7109375" style="155" bestFit="1" customWidth="1"/>
    <col min="7" max="7" width="48.140625" style="155" bestFit="1" customWidth="1"/>
    <col min="8" max="8" width="82" style="155" bestFit="1" customWidth="1"/>
    <col min="9" max="9" width="15.140625" style="155" bestFit="1" customWidth="1"/>
    <col min="10" max="10" width="39.5703125" style="155" customWidth="1"/>
    <col min="11" max="11" width="26" style="155" bestFit="1" customWidth="1"/>
    <col min="12" max="12" width="23.140625" style="155" bestFit="1" customWidth="1"/>
    <col min="13" max="13" width="19.140625" style="155" customWidth="1"/>
    <col min="14" max="14" width="7.7109375" style="155" customWidth="1"/>
    <col min="15" max="15" width="14.5703125" style="155" customWidth="1"/>
    <col min="16" max="16" width="22.140625" style="155" bestFit="1" customWidth="1"/>
    <col min="17" max="17" width="16.28515625" style="155" bestFit="1" customWidth="1"/>
    <col min="18" max="16384" width="9.140625" style="155"/>
  </cols>
  <sheetData>
    <row r="1" spans="1:17" x14ac:dyDescent="0.25">
      <c r="A1" s="155" t="s">
        <v>0</v>
      </c>
      <c r="B1" s="155" t="s">
        <v>1</v>
      </c>
      <c r="C1" s="155" t="s">
        <v>2</v>
      </c>
      <c r="D1" s="155" t="s">
        <v>3</v>
      </c>
      <c r="E1" s="155" t="s">
        <v>4</v>
      </c>
      <c r="F1" s="155" t="s">
        <v>5</v>
      </c>
      <c r="G1" s="156" t="s">
        <v>6</v>
      </c>
      <c r="H1" s="156" t="s">
        <v>7</v>
      </c>
      <c r="I1" s="157" t="s">
        <v>8</v>
      </c>
      <c r="J1" s="157" t="s">
        <v>9</v>
      </c>
      <c r="K1" s="157" t="s">
        <v>10</v>
      </c>
      <c r="L1" s="157" t="s">
        <v>11</v>
      </c>
      <c r="M1" s="157" t="s">
        <v>12</v>
      </c>
      <c r="N1" s="157" t="s">
        <v>13</v>
      </c>
      <c r="O1" s="157" t="s">
        <v>14</v>
      </c>
      <c r="P1" s="157" t="s">
        <v>15</v>
      </c>
      <c r="Q1" s="155" t="s">
        <v>16</v>
      </c>
    </row>
    <row r="2" spans="1:17" x14ac:dyDescent="0.25">
      <c r="A2" s="155" t="s">
        <v>17</v>
      </c>
      <c r="B2" s="155" t="s">
        <v>18</v>
      </c>
      <c r="C2" s="155" t="s">
        <v>19</v>
      </c>
      <c r="D2" s="155" t="s">
        <v>17</v>
      </c>
      <c r="E2" s="155" t="s">
        <v>20</v>
      </c>
      <c r="F2" s="155" t="s">
        <v>21</v>
      </c>
      <c r="G2" s="158" t="s">
        <v>22</v>
      </c>
      <c r="H2" s="158" t="s">
        <v>23</v>
      </c>
      <c r="I2" s="159" t="s">
        <v>24</v>
      </c>
      <c r="J2" s="159" t="s">
        <v>24</v>
      </c>
      <c r="K2" s="159" t="s">
        <v>25</v>
      </c>
      <c r="L2" s="159" t="s">
        <v>26</v>
      </c>
      <c r="M2" s="159" t="s">
        <v>27</v>
      </c>
      <c r="N2" s="159" t="s">
        <v>28</v>
      </c>
      <c r="O2" s="159" t="s">
        <v>29</v>
      </c>
      <c r="P2" s="159" t="s">
        <v>30</v>
      </c>
    </row>
    <row r="3" spans="1:17" x14ac:dyDescent="0.25">
      <c r="A3" s="155" t="s">
        <v>31</v>
      </c>
      <c r="B3" s="155" t="s">
        <v>18</v>
      </c>
      <c r="C3" s="155" t="s">
        <v>32</v>
      </c>
      <c r="D3" s="155" t="s">
        <v>33</v>
      </c>
      <c r="E3" s="155" t="s">
        <v>20</v>
      </c>
      <c r="F3" s="155" t="s">
        <v>21</v>
      </c>
      <c r="G3" s="158" t="s">
        <v>34</v>
      </c>
      <c r="H3" s="158" t="s">
        <v>35</v>
      </c>
      <c r="I3" s="159" t="s">
        <v>36</v>
      </c>
      <c r="J3" s="159" t="s">
        <v>36</v>
      </c>
      <c r="K3" s="159" t="s">
        <v>37</v>
      </c>
      <c r="L3" s="159" t="s">
        <v>26</v>
      </c>
      <c r="M3" s="159" t="s">
        <v>38</v>
      </c>
      <c r="N3" s="159" t="s">
        <v>28</v>
      </c>
      <c r="O3" s="159" t="s">
        <v>39</v>
      </c>
      <c r="P3" s="159" t="s">
        <v>40</v>
      </c>
    </row>
    <row r="4" spans="1:17" x14ac:dyDescent="0.25">
      <c r="A4" s="155" t="s">
        <v>41</v>
      </c>
      <c r="B4" s="155" t="s">
        <v>18</v>
      </c>
      <c r="C4" s="155" t="s">
        <v>32</v>
      </c>
      <c r="D4" s="155" t="s">
        <v>33</v>
      </c>
      <c r="E4" s="155" t="s">
        <v>20</v>
      </c>
      <c r="F4" s="155" t="s">
        <v>21</v>
      </c>
      <c r="G4" s="158" t="s">
        <v>42</v>
      </c>
      <c r="H4" s="158" t="s">
        <v>43</v>
      </c>
      <c r="I4" s="159" t="s">
        <v>44</v>
      </c>
      <c r="J4" s="159" t="s">
        <v>44</v>
      </c>
      <c r="K4" s="159" t="s">
        <v>45</v>
      </c>
      <c r="L4" s="159" t="s">
        <v>26</v>
      </c>
      <c r="M4" s="159" t="s">
        <v>46</v>
      </c>
      <c r="N4" s="159" t="s">
        <v>28</v>
      </c>
      <c r="O4" s="159" t="s">
        <v>29</v>
      </c>
      <c r="P4" s="159" t="s">
        <v>47</v>
      </c>
    </row>
    <row r="5" spans="1:17" x14ac:dyDescent="0.25">
      <c r="A5" s="155" t="s">
        <v>48</v>
      </c>
      <c r="B5" s="155" t="s">
        <v>18</v>
      </c>
      <c r="C5" s="155" t="s">
        <v>32</v>
      </c>
      <c r="D5" s="155" t="s">
        <v>33</v>
      </c>
      <c r="E5" s="155" t="s">
        <v>20</v>
      </c>
      <c r="F5" s="155" t="s">
        <v>21</v>
      </c>
      <c r="G5" s="158" t="s">
        <v>49</v>
      </c>
      <c r="H5" s="158" t="s">
        <v>50</v>
      </c>
      <c r="I5" s="159" t="s">
        <v>51</v>
      </c>
      <c r="J5" s="159" t="s">
        <v>51</v>
      </c>
      <c r="K5" s="159" t="s">
        <v>52</v>
      </c>
      <c r="L5" s="159" t="s">
        <v>26</v>
      </c>
      <c r="M5" s="159" t="s">
        <v>53</v>
      </c>
      <c r="N5" s="159" t="s">
        <v>28</v>
      </c>
      <c r="O5" s="159" t="s">
        <v>29</v>
      </c>
      <c r="P5" s="159" t="s">
        <v>54</v>
      </c>
    </row>
    <row r="6" spans="1:17" x14ac:dyDescent="0.25">
      <c r="A6" s="155" t="s">
        <v>55</v>
      </c>
      <c r="B6" s="155" t="s">
        <v>18</v>
      </c>
      <c r="C6" s="155" t="s">
        <v>32</v>
      </c>
      <c r="D6" s="155" t="s">
        <v>33</v>
      </c>
      <c r="E6" s="155" t="s">
        <v>20</v>
      </c>
      <c r="F6" s="155" t="s">
        <v>21</v>
      </c>
      <c r="G6" s="158" t="s">
        <v>56</v>
      </c>
      <c r="H6" s="158" t="s">
        <v>57</v>
      </c>
      <c r="I6" s="159" t="s">
        <v>58</v>
      </c>
      <c r="J6" s="159" t="s">
        <v>58</v>
      </c>
      <c r="K6" s="159" t="s">
        <v>59</v>
      </c>
      <c r="L6" s="159" t="s">
        <v>26</v>
      </c>
      <c r="M6" s="159" t="s">
        <v>60</v>
      </c>
      <c r="N6" s="159" t="s">
        <v>28</v>
      </c>
      <c r="O6" s="159" t="s">
        <v>29</v>
      </c>
      <c r="P6" s="159" t="s">
        <v>61</v>
      </c>
    </row>
    <row r="7" spans="1:17" x14ac:dyDescent="0.25">
      <c r="A7" s="155" t="s">
        <v>62</v>
      </c>
      <c r="B7" s="155" t="s">
        <v>18</v>
      </c>
      <c r="C7" s="155" t="s">
        <v>32</v>
      </c>
      <c r="D7" s="155" t="s">
        <v>33</v>
      </c>
      <c r="E7" s="155" t="s">
        <v>20</v>
      </c>
      <c r="F7" s="155" t="s">
        <v>21</v>
      </c>
      <c r="G7" s="158" t="s">
        <v>63</v>
      </c>
      <c r="H7" s="158" t="s">
        <v>64</v>
      </c>
      <c r="I7" s="159" t="s">
        <v>65</v>
      </c>
      <c r="J7" s="159" t="s">
        <v>65</v>
      </c>
      <c r="K7" s="159" t="s">
        <v>59</v>
      </c>
      <c r="L7" s="159" t="s">
        <v>26</v>
      </c>
      <c r="M7" s="159" t="s">
        <v>60</v>
      </c>
      <c r="N7" s="159" t="s">
        <v>28</v>
      </c>
      <c r="O7" s="159" t="s">
        <v>29</v>
      </c>
      <c r="P7" s="159" t="s">
        <v>66</v>
      </c>
    </row>
    <row r="8" spans="1:17" x14ac:dyDescent="0.25">
      <c r="A8" s="155" t="s">
        <v>67</v>
      </c>
      <c r="B8" s="155" t="s">
        <v>18</v>
      </c>
      <c r="C8" s="155" t="s">
        <v>32</v>
      </c>
      <c r="D8" s="155" t="s">
        <v>33</v>
      </c>
      <c r="E8" s="155" t="s">
        <v>20</v>
      </c>
      <c r="F8" s="155" t="s">
        <v>21</v>
      </c>
      <c r="G8" s="158" t="s">
        <v>68</v>
      </c>
      <c r="H8" s="158" t="s">
        <v>69</v>
      </c>
      <c r="I8" s="159" t="s">
        <v>70</v>
      </c>
      <c r="J8" s="159" t="s">
        <v>70</v>
      </c>
      <c r="K8" s="159" t="s">
        <v>71</v>
      </c>
      <c r="L8" s="159" t="s">
        <v>26</v>
      </c>
      <c r="M8" s="159" t="s">
        <v>72</v>
      </c>
      <c r="N8" s="159" t="s">
        <v>28</v>
      </c>
      <c r="O8" s="159" t="s">
        <v>29</v>
      </c>
      <c r="P8" s="159" t="s">
        <v>73</v>
      </c>
    </row>
    <row r="9" spans="1:17" x14ac:dyDescent="0.25">
      <c r="A9" s="155" t="s">
        <v>74</v>
      </c>
      <c r="B9" s="155" t="s">
        <v>18</v>
      </c>
      <c r="C9" s="155" t="s">
        <v>32</v>
      </c>
      <c r="D9" s="155" t="s">
        <v>33</v>
      </c>
      <c r="E9" s="155" t="s">
        <v>20</v>
      </c>
      <c r="F9" s="155" t="s">
        <v>21</v>
      </c>
      <c r="G9" s="158" t="s">
        <v>75</v>
      </c>
      <c r="H9" s="158" t="s">
        <v>76</v>
      </c>
      <c r="I9" s="159" t="s">
        <v>77</v>
      </c>
      <c r="J9" s="159" t="s">
        <v>77</v>
      </c>
      <c r="K9" s="159" t="s">
        <v>45</v>
      </c>
      <c r="L9" s="159" t="s">
        <v>26</v>
      </c>
      <c r="M9" s="159" t="s">
        <v>46</v>
      </c>
      <c r="N9" s="159" t="s">
        <v>28</v>
      </c>
      <c r="O9" s="159" t="s">
        <v>29</v>
      </c>
      <c r="P9" s="159" t="s">
        <v>78</v>
      </c>
    </row>
    <row r="10" spans="1:17" x14ac:dyDescent="0.25">
      <c r="A10" s="155" t="s">
        <v>79</v>
      </c>
      <c r="B10" s="155" t="s">
        <v>18</v>
      </c>
      <c r="C10" s="155" t="s">
        <v>32</v>
      </c>
      <c r="D10" s="155" t="s">
        <v>33</v>
      </c>
      <c r="E10" s="155" t="s">
        <v>20</v>
      </c>
      <c r="F10" s="155" t="s">
        <v>21</v>
      </c>
      <c r="G10" s="158" t="s">
        <v>80</v>
      </c>
      <c r="H10" s="158" t="s">
        <v>81</v>
      </c>
      <c r="I10" s="159" t="s">
        <v>82</v>
      </c>
      <c r="J10" s="159" t="s">
        <v>82</v>
      </c>
      <c r="K10" s="159" t="s">
        <v>83</v>
      </c>
      <c r="L10" s="159" t="s">
        <v>26</v>
      </c>
      <c r="M10" s="159" t="s">
        <v>84</v>
      </c>
      <c r="N10" s="159" t="s">
        <v>28</v>
      </c>
      <c r="O10" s="159" t="s">
        <v>29</v>
      </c>
      <c r="P10" s="159" t="s">
        <v>85</v>
      </c>
    </row>
    <row r="11" spans="1:17" x14ac:dyDescent="0.25">
      <c r="A11" s="155" t="s">
        <v>86</v>
      </c>
      <c r="B11" s="155" t="s">
        <v>18</v>
      </c>
      <c r="C11" s="155" t="s">
        <v>32</v>
      </c>
      <c r="D11" s="155" t="s">
        <v>33</v>
      </c>
      <c r="E11" s="155" t="s">
        <v>20</v>
      </c>
      <c r="F11" s="155" t="s">
        <v>21</v>
      </c>
      <c r="G11" s="158" t="s">
        <v>87</v>
      </c>
      <c r="H11" s="158" t="s">
        <v>88</v>
      </c>
      <c r="I11" s="159" t="s">
        <v>89</v>
      </c>
      <c r="J11" s="159" t="s">
        <v>89</v>
      </c>
      <c r="K11" s="159" t="s">
        <v>71</v>
      </c>
      <c r="L11" s="159" t="s">
        <v>26</v>
      </c>
      <c r="M11" s="159" t="s">
        <v>72</v>
      </c>
      <c r="N11" s="159" t="s">
        <v>28</v>
      </c>
      <c r="O11" s="159" t="s">
        <v>29</v>
      </c>
      <c r="P11" s="159" t="s">
        <v>90</v>
      </c>
    </row>
    <row r="12" spans="1:17" x14ac:dyDescent="0.25">
      <c r="A12" s="155" t="s">
        <v>91</v>
      </c>
      <c r="B12" s="155" t="s">
        <v>18</v>
      </c>
      <c r="C12" s="155" t="s">
        <v>32</v>
      </c>
      <c r="D12" s="155" t="s">
        <v>33</v>
      </c>
      <c r="E12" s="155" t="s">
        <v>20</v>
      </c>
      <c r="F12" s="155" t="s">
        <v>21</v>
      </c>
      <c r="G12" s="158" t="s">
        <v>92</v>
      </c>
      <c r="H12" s="158" t="s">
        <v>93</v>
      </c>
      <c r="I12" s="159" t="s">
        <v>94</v>
      </c>
      <c r="J12" s="159" t="s">
        <v>94</v>
      </c>
      <c r="K12" s="159" t="s">
        <v>71</v>
      </c>
      <c r="L12" s="159" t="s">
        <v>26</v>
      </c>
      <c r="M12" s="159" t="s">
        <v>72</v>
      </c>
      <c r="N12" s="159" t="s">
        <v>28</v>
      </c>
      <c r="O12" s="159" t="s">
        <v>29</v>
      </c>
      <c r="P12" s="159" t="s">
        <v>95</v>
      </c>
    </row>
    <row r="13" spans="1:17" x14ac:dyDescent="0.25">
      <c r="A13" s="155" t="s">
        <v>96</v>
      </c>
      <c r="B13" s="155" t="s">
        <v>18</v>
      </c>
      <c r="C13" s="155" t="s">
        <v>32</v>
      </c>
      <c r="D13" s="155" t="s">
        <v>33</v>
      </c>
      <c r="E13" s="155" t="s">
        <v>20</v>
      </c>
      <c r="F13" s="155" t="s">
        <v>21</v>
      </c>
      <c r="G13" s="158" t="s">
        <v>97</v>
      </c>
      <c r="H13" s="158" t="s">
        <v>98</v>
      </c>
      <c r="I13" s="159" t="s">
        <v>99</v>
      </c>
      <c r="J13" s="159" t="s">
        <v>99</v>
      </c>
      <c r="K13" s="159" t="s">
        <v>37</v>
      </c>
      <c r="L13" s="159" t="s">
        <v>26</v>
      </c>
      <c r="M13" s="159" t="s">
        <v>38</v>
      </c>
      <c r="N13" s="159" t="s">
        <v>28</v>
      </c>
      <c r="O13" s="159" t="s">
        <v>39</v>
      </c>
      <c r="P13" s="159" t="s">
        <v>100</v>
      </c>
    </row>
    <row r="14" spans="1:17" x14ac:dyDescent="0.25">
      <c r="A14" s="155" t="s">
        <v>101</v>
      </c>
      <c r="B14" s="155" t="s">
        <v>18</v>
      </c>
      <c r="C14" s="155" t="s">
        <v>32</v>
      </c>
      <c r="D14" s="155" t="s">
        <v>33</v>
      </c>
      <c r="E14" s="155" t="s">
        <v>20</v>
      </c>
      <c r="F14" s="155" t="s">
        <v>21</v>
      </c>
      <c r="G14" s="158" t="s">
        <v>102</v>
      </c>
      <c r="H14" s="158" t="s">
        <v>103</v>
      </c>
      <c r="I14" s="159" t="s">
        <v>104</v>
      </c>
      <c r="J14" s="159" t="s">
        <v>104</v>
      </c>
      <c r="K14" s="159" t="s">
        <v>37</v>
      </c>
      <c r="L14" s="159" t="s">
        <v>26</v>
      </c>
      <c r="M14" s="159" t="s">
        <v>38</v>
      </c>
      <c r="N14" s="159" t="s">
        <v>28</v>
      </c>
      <c r="O14" s="159" t="s">
        <v>39</v>
      </c>
      <c r="P14" s="159" t="s">
        <v>105</v>
      </c>
    </row>
    <row r="15" spans="1:17" x14ac:dyDescent="0.25">
      <c r="A15" s="155" t="s">
        <v>106</v>
      </c>
      <c r="B15" s="155" t="s">
        <v>18</v>
      </c>
      <c r="C15" s="155" t="s">
        <v>32</v>
      </c>
      <c r="D15" s="155" t="s">
        <v>33</v>
      </c>
      <c r="E15" s="155" t="s">
        <v>20</v>
      </c>
      <c r="F15" s="155" t="s">
        <v>21</v>
      </c>
      <c r="G15" s="158" t="s">
        <v>107</v>
      </c>
      <c r="H15" s="158" t="s">
        <v>108</v>
      </c>
      <c r="I15" s="159" t="s">
        <v>109</v>
      </c>
      <c r="J15" s="159" t="s">
        <v>109</v>
      </c>
      <c r="K15" s="159" t="s">
        <v>71</v>
      </c>
      <c r="L15" s="159" t="s">
        <v>26</v>
      </c>
      <c r="M15" s="159" t="s">
        <v>72</v>
      </c>
      <c r="N15" s="159" t="s">
        <v>28</v>
      </c>
      <c r="O15" s="159" t="s">
        <v>29</v>
      </c>
      <c r="P15" s="159" t="s">
        <v>110</v>
      </c>
    </row>
    <row r="16" spans="1:17" x14ac:dyDescent="0.25">
      <c r="A16" s="155" t="s">
        <v>111</v>
      </c>
      <c r="B16" s="155" t="s">
        <v>18</v>
      </c>
      <c r="C16" s="155" t="s">
        <v>32</v>
      </c>
      <c r="D16" s="155" t="s">
        <v>33</v>
      </c>
      <c r="E16" s="155" t="s">
        <v>20</v>
      </c>
      <c r="F16" s="155" t="s">
        <v>21</v>
      </c>
      <c r="G16" s="158" t="s">
        <v>112</v>
      </c>
      <c r="H16" s="158" t="s">
        <v>113</v>
      </c>
      <c r="I16" s="159" t="s">
        <v>114</v>
      </c>
      <c r="J16" s="159" t="s">
        <v>114</v>
      </c>
      <c r="K16" s="159" t="s">
        <v>71</v>
      </c>
      <c r="L16" s="159" t="s">
        <v>26</v>
      </c>
      <c r="M16" s="159" t="s">
        <v>72</v>
      </c>
      <c r="N16" s="159" t="s">
        <v>28</v>
      </c>
      <c r="O16" s="159" t="s">
        <v>29</v>
      </c>
      <c r="P16" s="159" t="s">
        <v>115</v>
      </c>
    </row>
    <row r="17" spans="1:16" x14ac:dyDescent="0.25">
      <c r="A17" s="155" t="s">
        <v>116</v>
      </c>
      <c r="B17" s="155" t="s">
        <v>18</v>
      </c>
      <c r="C17" s="155" t="s">
        <v>32</v>
      </c>
      <c r="D17" s="155" t="s">
        <v>33</v>
      </c>
      <c r="E17" s="155" t="s">
        <v>20</v>
      </c>
      <c r="F17" s="155" t="s">
        <v>21</v>
      </c>
      <c r="G17" s="158" t="s">
        <v>117</v>
      </c>
      <c r="H17" s="158" t="s">
        <v>118</v>
      </c>
      <c r="I17" s="159" t="s">
        <v>119</v>
      </c>
      <c r="J17" s="159" t="s">
        <v>119</v>
      </c>
      <c r="K17" s="159" t="s">
        <v>37</v>
      </c>
      <c r="L17" s="159" t="s">
        <v>26</v>
      </c>
      <c r="M17" s="159" t="s">
        <v>38</v>
      </c>
      <c r="N17" s="159" t="s">
        <v>28</v>
      </c>
      <c r="O17" s="159" t="s">
        <v>39</v>
      </c>
      <c r="P17" s="159" t="s">
        <v>120</v>
      </c>
    </row>
    <row r="18" spans="1:16" x14ac:dyDescent="0.25">
      <c r="A18" s="155" t="s">
        <v>121</v>
      </c>
      <c r="B18" s="155" t="s">
        <v>18</v>
      </c>
      <c r="C18" s="155" t="s">
        <v>32</v>
      </c>
      <c r="D18" s="155" t="s">
        <v>33</v>
      </c>
      <c r="E18" s="155" t="s">
        <v>20</v>
      </c>
      <c r="F18" s="155" t="s">
        <v>21</v>
      </c>
      <c r="G18" s="158" t="s">
        <v>122</v>
      </c>
      <c r="H18" s="158" t="s">
        <v>123</v>
      </c>
      <c r="I18" s="159" t="s">
        <v>124</v>
      </c>
      <c r="J18" s="159" t="s">
        <v>124</v>
      </c>
      <c r="K18" s="159" t="s">
        <v>37</v>
      </c>
      <c r="L18" s="159" t="s">
        <v>26</v>
      </c>
      <c r="M18" s="159" t="s">
        <v>38</v>
      </c>
      <c r="N18" s="159" t="s">
        <v>28</v>
      </c>
      <c r="O18" s="159" t="s">
        <v>39</v>
      </c>
      <c r="P18" s="159" t="s">
        <v>125</v>
      </c>
    </row>
    <row r="19" spans="1:16" x14ac:dyDescent="0.25">
      <c r="A19" s="155" t="s">
        <v>33</v>
      </c>
      <c r="B19" s="155" t="s">
        <v>18</v>
      </c>
      <c r="C19" s="155" t="s">
        <v>126</v>
      </c>
      <c r="D19" s="155" t="s">
        <v>127</v>
      </c>
      <c r="E19" s="155" t="s">
        <v>20</v>
      </c>
      <c r="F19" s="155" t="s">
        <v>21</v>
      </c>
      <c r="G19" s="158" t="s">
        <v>128</v>
      </c>
      <c r="H19" s="158" t="s">
        <v>129</v>
      </c>
      <c r="I19" s="159" t="s">
        <v>130</v>
      </c>
      <c r="J19" s="159" t="s">
        <v>130</v>
      </c>
      <c r="K19" s="159" t="s">
        <v>71</v>
      </c>
      <c r="L19" s="159" t="s">
        <v>26</v>
      </c>
      <c r="M19" s="159" t="s">
        <v>72</v>
      </c>
      <c r="N19" s="159" t="s">
        <v>28</v>
      </c>
      <c r="O19" s="159" t="s">
        <v>29</v>
      </c>
      <c r="P19" s="159" t="s">
        <v>131</v>
      </c>
    </row>
    <row r="20" spans="1:16" x14ac:dyDescent="0.25">
      <c r="A20" s="155" t="s">
        <v>132</v>
      </c>
      <c r="B20" s="155" t="s">
        <v>18</v>
      </c>
      <c r="C20" s="155" t="s">
        <v>126</v>
      </c>
      <c r="D20" s="155" t="s">
        <v>127</v>
      </c>
      <c r="E20" s="155" t="s">
        <v>20</v>
      </c>
      <c r="F20" s="155" t="s">
        <v>21</v>
      </c>
      <c r="G20" s="158" t="s">
        <v>133</v>
      </c>
      <c r="H20" s="158" t="s">
        <v>134</v>
      </c>
      <c r="I20" s="159" t="s">
        <v>135</v>
      </c>
      <c r="J20" s="159" t="s">
        <v>135</v>
      </c>
      <c r="K20" s="159" t="s">
        <v>71</v>
      </c>
      <c r="L20" s="159" t="s">
        <v>26</v>
      </c>
      <c r="M20" s="159" t="s">
        <v>72</v>
      </c>
      <c r="N20" s="159" t="s">
        <v>28</v>
      </c>
      <c r="O20" s="159" t="s">
        <v>29</v>
      </c>
      <c r="P20" s="159" t="s">
        <v>136</v>
      </c>
    </row>
    <row r="21" spans="1:16" x14ac:dyDescent="0.25">
      <c r="A21" s="155" t="s">
        <v>137</v>
      </c>
      <c r="B21" s="155" t="s">
        <v>18</v>
      </c>
      <c r="C21" s="155" t="s">
        <v>126</v>
      </c>
      <c r="D21" s="155" t="s">
        <v>127</v>
      </c>
      <c r="E21" s="155" t="s">
        <v>20</v>
      </c>
      <c r="F21" s="155" t="s">
        <v>21</v>
      </c>
      <c r="G21" s="158" t="s">
        <v>138</v>
      </c>
      <c r="H21" s="158" t="s">
        <v>139</v>
      </c>
      <c r="I21" s="159" t="s">
        <v>140</v>
      </c>
      <c r="J21" s="159" t="s">
        <v>140</v>
      </c>
      <c r="K21" s="159" t="s">
        <v>45</v>
      </c>
      <c r="L21" s="159" t="s">
        <v>26</v>
      </c>
      <c r="M21" s="159" t="s">
        <v>46</v>
      </c>
      <c r="N21" s="159" t="s">
        <v>28</v>
      </c>
      <c r="O21" s="159" t="s">
        <v>29</v>
      </c>
      <c r="P21" s="159" t="s">
        <v>141</v>
      </c>
    </row>
    <row r="22" spans="1:16" x14ac:dyDescent="0.25">
      <c r="A22" s="160" t="s">
        <v>142</v>
      </c>
      <c r="B22" s="155" t="s">
        <v>18</v>
      </c>
      <c r="C22" s="155" t="s">
        <v>126</v>
      </c>
      <c r="D22" s="155" t="s">
        <v>127</v>
      </c>
      <c r="E22" s="155" t="s">
        <v>20</v>
      </c>
      <c r="F22" s="155" t="s">
        <v>21</v>
      </c>
      <c r="G22" s="158" t="s">
        <v>143</v>
      </c>
      <c r="H22" s="158" t="s">
        <v>144</v>
      </c>
      <c r="I22" s="159" t="s">
        <v>145</v>
      </c>
      <c r="J22" s="159" t="s">
        <v>145</v>
      </c>
      <c r="K22" s="159" t="s">
        <v>37</v>
      </c>
      <c r="L22" s="159" t="s">
        <v>26</v>
      </c>
      <c r="M22" s="159" t="s">
        <v>38</v>
      </c>
      <c r="N22" s="159" t="s">
        <v>28</v>
      </c>
      <c r="O22" s="159" t="s">
        <v>39</v>
      </c>
      <c r="P22" s="159" t="s">
        <v>146</v>
      </c>
    </row>
    <row r="23" spans="1:16" x14ac:dyDescent="0.25">
      <c r="A23" s="155" t="s">
        <v>147</v>
      </c>
      <c r="B23" s="155" t="s">
        <v>18</v>
      </c>
      <c r="C23" s="155" t="s">
        <v>126</v>
      </c>
      <c r="D23" s="155" t="s">
        <v>127</v>
      </c>
      <c r="E23" s="155" t="s">
        <v>20</v>
      </c>
      <c r="F23" s="155" t="s">
        <v>21</v>
      </c>
      <c r="G23" s="158" t="s">
        <v>148</v>
      </c>
      <c r="H23" s="158" t="s">
        <v>149</v>
      </c>
      <c r="I23" s="159" t="s">
        <v>150</v>
      </c>
      <c r="J23" s="159" t="s">
        <v>150</v>
      </c>
      <c r="K23" s="159" t="s">
        <v>37</v>
      </c>
      <c r="L23" s="159" t="s">
        <v>26</v>
      </c>
      <c r="M23" s="159" t="s">
        <v>38</v>
      </c>
      <c r="N23" s="159" t="s">
        <v>28</v>
      </c>
      <c r="O23" s="159" t="s">
        <v>39</v>
      </c>
      <c r="P23" s="159" t="s">
        <v>151</v>
      </c>
    </row>
    <row r="24" spans="1:16" x14ac:dyDescent="0.25">
      <c r="A24" s="155" t="s">
        <v>152</v>
      </c>
      <c r="B24" s="155" t="s">
        <v>18</v>
      </c>
      <c r="C24" s="155" t="s">
        <v>126</v>
      </c>
      <c r="D24" s="155" t="s">
        <v>127</v>
      </c>
      <c r="E24" s="155" t="s">
        <v>20</v>
      </c>
      <c r="F24" s="155" t="s">
        <v>21</v>
      </c>
      <c r="G24" s="158" t="s">
        <v>153</v>
      </c>
      <c r="H24" s="158" t="s">
        <v>154</v>
      </c>
      <c r="I24" s="159" t="s">
        <v>155</v>
      </c>
      <c r="J24" s="159" t="s">
        <v>155</v>
      </c>
      <c r="K24" s="159" t="s">
        <v>156</v>
      </c>
      <c r="L24" s="159" t="s">
        <v>26</v>
      </c>
      <c r="M24" s="159" t="s">
        <v>157</v>
      </c>
      <c r="N24" s="159" t="s">
        <v>28</v>
      </c>
      <c r="O24" s="159" t="s">
        <v>29</v>
      </c>
      <c r="P24" s="159" t="s">
        <v>158</v>
      </c>
    </row>
    <row r="25" spans="1:16" x14ac:dyDescent="0.25">
      <c r="A25" s="155" t="s">
        <v>159</v>
      </c>
      <c r="B25" s="155" t="s">
        <v>18</v>
      </c>
      <c r="C25" s="155" t="s">
        <v>126</v>
      </c>
      <c r="D25" s="155" t="s">
        <v>127</v>
      </c>
      <c r="E25" s="155" t="s">
        <v>20</v>
      </c>
      <c r="F25" s="155" t="s">
        <v>21</v>
      </c>
      <c r="G25" s="158" t="s">
        <v>160</v>
      </c>
      <c r="H25" s="158" t="s">
        <v>161</v>
      </c>
      <c r="I25" s="159" t="s">
        <v>162</v>
      </c>
      <c r="J25" s="159" t="s">
        <v>162</v>
      </c>
      <c r="K25" s="159" t="s">
        <v>71</v>
      </c>
      <c r="L25" s="159" t="s">
        <v>26</v>
      </c>
      <c r="M25" s="159" t="s">
        <v>72</v>
      </c>
      <c r="N25" s="159" t="s">
        <v>28</v>
      </c>
      <c r="O25" s="159" t="s">
        <v>29</v>
      </c>
      <c r="P25" s="159" t="s">
        <v>163</v>
      </c>
    </row>
    <row r="26" spans="1:16" x14ac:dyDescent="0.25">
      <c r="A26" s="155" t="s">
        <v>127</v>
      </c>
      <c r="B26" s="155" t="s">
        <v>18</v>
      </c>
      <c r="C26" s="155" t="s">
        <v>126</v>
      </c>
      <c r="D26" s="155" t="s">
        <v>127</v>
      </c>
      <c r="E26" s="155" t="s">
        <v>20</v>
      </c>
      <c r="F26" s="155" t="s">
        <v>21</v>
      </c>
      <c r="G26" s="158" t="s">
        <v>164</v>
      </c>
      <c r="H26" s="158" t="s">
        <v>165</v>
      </c>
      <c r="I26" s="159" t="s">
        <v>166</v>
      </c>
      <c r="J26" s="159" t="s">
        <v>166</v>
      </c>
      <c r="K26" s="159" t="s">
        <v>71</v>
      </c>
      <c r="L26" s="159" t="s">
        <v>26</v>
      </c>
      <c r="M26" s="159" t="s">
        <v>72</v>
      </c>
      <c r="N26" s="159" t="s">
        <v>28</v>
      </c>
      <c r="O26" s="159" t="s">
        <v>29</v>
      </c>
      <c r="P26" s="159" t="s">
        <v>167</v>
      </c>
    </row>
    <row r="27" spans="1:16" x14ac:dyDescent="0.25">
      <c r="A27" s="155" t="s">
        <v>168</v>
      </c>
      <c r="B27" s="155" t="s">
        <v>18</v>
      </c>
      <c r="C27" s="155" t="s">
        <v>126</v>
      </c>
      <c r="D27" s="155" t="s">
        <v>127</v>
      </c>
      <c r="E27" s="155" t="s">
        <v>20</v>
      </c>
      <c r="F27" s="155" t="s">
        <v>21</v>
      </c>
      <c r="G27" s="158" t="s">
        <v>169</v>
      </c>
      <c r="H27" s="158" t="s">
        <v>170</v>
      </c>
      <c r="I27" s="159" t="s">
        <v>171</v>
      </c>
      <c r="J27" s="159" t="s">
        <v>171</v>
      </c>
      <c r="K27" s="159" t="s">
        <v>71</v>
      </c>
      <c r="L27" s="159" t="s">
        <v>26</v>
      </c>
      <c r="M27" s="159" t="s">
        <v>72</v>
      </c>
      <c r="N27" s="159" t="s">
        <v>28</v>
      </c>
      <c r="O27" s="159" t="s">
        <v>29</v>
      </c>
      <c r="P27" s="159" t="s">
        <v>172</v>
      </c>
    </row>
    <row r="28" spans="1:16" x14ac:dyDescent="0.25">
      <c r="A28" s="155" t="s">
        <v>173</v>
      </c>
      <c r="B28" s="155" t="s">
        <v>18</v>
      </c>
      <c r="C28" s="155" t="s">
        <v>126</v>
      </c>
      <c r="D28" s="155" t="s">
        <v>127</v>
      </c>
      <c r="E28" s="155" t="s">
        <v>20</v>
      </c>
      <c r="F28" s="155" t="s">
        <v>21</v>
      </c>
      <c r="G28" s="158" t="s">
        <v>174</v>
      </c>
      <c r="H28" s="158" t="s">
        <v>175</v>
      </c>
      <c r="I28" s="159" t="s">
        <v>176</v>
      </c>
      <c r="J28" s="159" t="s">
        <v>176</v>
      </c>
      <c r="K28" s="159" t="s">
        <v>83</v>
      </c>
      <c r="L28" s="159" t="s">
        <v>26</v>
      </c>
      <c r="M28" s="159" t="s">
        <v>84</v>
      </c>
      <c r="N28" s="159" t="s">
        <v>28</v>
      </c>
      <c r="O28" s="159" t="s">
        <v>29</v>
      </c>
      <c r="P28" s="159" t="s">
        <v>177</v>
      </c>
    </row>
    <row r="29" spans="1:16" x14ac:dyDescent="0.25">
      <c r="A29" s="155" t="s">
        <v>178</v>
      </c>
      <c r="B29" s="155" t="s">
        <v>18</v>
      </c>
      <c r="C29" s="155" t="s">
        <v>126</v>
      </c>
      <c r="D29" s="155" t="s">
        <v>127</v>
      </c>
      <c r="E29" s="155" t="s">
        <v>20</v>
      </c>
      <c r="F29" s="155" t="s">
        <v>21</v>
      </c>
      <c r="G29" s="158" t="s">
        <v>179</v>
      </c>
      <c r="H29" s="158" t="s">
        <v>180</v>
      </c>
      <c r="I29" s="159" t="s">
        <v>181</v>
      </c>
      <c r="J29" s="159" t="s">
        <v>181</v>
      </c>
      <c r="K29" s="159" t="s">
        <v>71</v>
      </c>
      <c r="L29" s="159" t="s">
        <v>26</v>
      </c>
      <c r="M29" s="159" t="s">
        <v>72</v>
      </c>
      <c r="N29" s="159" t="s">
        <v>28</v>
      </c>
      <c r="O29" s="159" t="s">
        <v>29</v>
      </c>
      <c r="P29" s="159" t="s">
        <v>182</v>
      </c>
    </row>
    <row r="30" spans="1:16" x14ac:dyDescent="0.25">
      <c r="A30" s="155" t="s">
        <v>183</v>
      </c>
      <c r="B30" s="155" t="s">
        <v>18</v>
      </c>
      <c r="C30" s="155" t="s">
        <v>126</v>
      </c>
      <c r="D30" s="155" t="s">
        <v>127</v>
      </c>
      <c r="E30" s="155" t="s">
        <v>20</v>
      </c>
      <c r="F30" s="155" t="s">
        <v>21</v>
      </c>
      <c r="G30" s="158" t="s">
        <v>184</v>
      </c>
      <c r="H30" s="158" t="s">
        <v>185</v>
      </c>
      <c r="I30" s="159" t="s">
        <v>186</v>
      </c>
      <c r="J30" s="159" t="s">
        <v>186</v>
      </c>
      <c r="K30" s="159" t="s">
        <v>71</v>
      </c>
      <c r="L30" s="159" t="s">
        <v>26</v>
      </c>
      <c r="M30" s="159" t="s">
        <v>72</v>
      </c>
      <c r="N30" s="159" t="s">
        <v>28</v>
      </c>
      <c r="O30" s="159" t="s">
        <v>29</v>
      </c>
      <c r="P30" s="159" t="s">
        <v>187</v>
      </c>
    </row>
    <row r="31" spans="1:16" x14ac:dyDescent="0.25">
      <c r="A31" s="155" t="s">
        <v>188</v>
      </c>
      <c r="B31" s="155" t="s">
        <v>18</v>
      </c>
      <c r="C31" s="155" t="s">
        <v>126</v>
      </c>
      <c r="D31" s="155" t="s">
        <v>127</v>
      </c>
      <c r="E31" s="155" t="s">
        <v>20</v>
      </c>
      <c r="F31" s="155" t="s">
        <v>21</v>
      </c>
      <c r="G31" s="158" t="s">
        <v>189</v>
      </c>
      <c r="H31" s="158" t="s">
        <v>190</v>
      </c>
      <c r="I31" s="159" t="s">
        <v>191</v>
      </c>
      <c r="J31" s="159" t="s">
        <v>191</v>
      </c>
      <c r="K31" s="159" t="s">
        <v>83</v>
      </c>
      <c r="L31" s="159" t="s">
        <v>26</v>
      </c>
      <c r="M31" s="159" t="s">
        <v>84</v>
      </c>
      <c r="N31" s="159" t="s">
        <v>28</v>
      </c>
      <c r="O31" s="159" t="s">
        <v>29</v>
      </c>
      <c r="P31" s="159" t="s">
        <v>192</v>
      </c>
    </row>
    <row r="32" spans="1:16" x14ac:dyDescent="0.25">
      <c r="A32" s="155" t="s">
        <v>193</v>
      </c>
      <c r="B32" s="155" t="s">
        <v>18</v>
      </c>
      <c r="C32" s="155" t="s">
        <v>126</v>
      </c>
      <c r="D32" s="155" t="s">
        <v>127</v>
      </c>
      <c r="E32" s="155" t="s">
        <v>20</v>
      </c>
      <c r="F32" s="155" t="s">
        <v>21</v>
      </c>
      <c r="G32" s="158" t="s">
        <v>194</v>
      </c>
      <c r="H32" s="158" t="s">
        <v>195</v>
      </c>
      <c r="I32" s="159" t="s">
        <v>196</v>
      </c>
      <c r="J32" s="159" t="s">
        <v>196</v>
      </c>
      <c r="K32" s="159" t="s">
        <v>45</v>
      </c>
      <c r="L32" s="159" t="s">
        <v>26</v>
      </c>
      <c r="M32" s="159" t="s">
        <v>46</v>
      </c>
      <c r="N32" s="159" t="s">
        <v>28</v>
      </c>
      <c r="O32" s="159" t="s">
        <v>29</v>
      </c>
      <c r="P32" s="159" t="s">
        <v>197</v>
      </c>
    </row>
    <row r="33" spans="1:16" x14ac:dyDescent="0.25">
      <c r="A33" s="155" t="s">
        <v>198</v>
      </c>
      <c r="B33" s="155" t="s">
        <v>18</v>
      </c>
      <c r="C33" s="155" t="s">
        <v>126</v>
      </c>
      <c r="D33" s="155" t="s">
        <v>127</v>
      </c>
      <c r="E33" s="155" t="s">
        <v>20</v>
      </c>
      <c r="F33" s="155" t="s">
        <v>21</v>
      </c>
      <c r="G33" s="158" t="s">
        <v>199</v>
      </c>
      <c r="H33" s="158" t="s">
        <v>200</v>
      </c>
      <c r="I33" s="159" t="s">
        <v>201</v>
      </c>
      <c r="J33" s="159" t="s">
        <v>201</v>
      </c>
      <c r="K33" s="159" t="s">
        <v>71</v>
      </c>
      <c r="L33" s="159" t="s">
        <v>26</v>
      </c>
      <c r="M33" s="159" t="s">
        <v>72</v>
      </c>
      <c r="N33" s="159" t="s">
        <v>28</v>
      </c>
      <c r="O33" s="159" t="s">
        <v>29</v>
      </c>
      <c r="P33" s="159" t="s">
        <v>202</v>
      </c>
    </row>
    <row r="34" spans="1:16" x14ac:dyDescent="0.25">
      <c r="A34" s="155" t="s">
        <v>203</v>
      </c>
      <c r="B34" s="155" t="s">
        <v>18</v>
      </c>
      <c r="C34" s="155" t="s">
        <v>126</v>
      </c>
      <c r="D34" s="155" t="s">
        <v>127</v>
      </c>
      <c r="E34" s="155" t="s">
        <v>20</v>
      </c>
      <c r="F34" s="155" t="s">
        <v>21</v>
      </c>
      <c r="G34" s="158" t="s">
        <v>204</v>
      </c>
      <c r="H34" s="158" t="s">
        <v>205</v>
      </c>
      <c r="I34" s="159" t="s">
        <v>206</v>
      </c>
      <c r="J34" s="159" t="s">
        <v>206</v>
      </c>
      <c r="K34" s="159" t="s">
        <v>71</v>
      </c>
      <c r="L34" s="159" t="s">
        <v>26</v>
      </c>
      <c r="M34" s="159" t="s">
        <v>72</v>
      </c>
      <c r="N34" s="159" t="s">
        <v>28</v>
      </c>
      <c r="O34" s="159" t="s">
        <v>29</v>
      </c>
      <c r="P34" s="159" t="s">
        <v>207</v>
      </c>
    </row>
    <row r="35" spans="1:16" x14ac:dyDescent="0.25">
      <c r="A35" s="155" t="s">
        <v>208</v>
      </c>
      <c r="B35" s="155" t="s">
        <v>18</v>
      </c>
      <c r="C35" s="155" t="s">
        <v>126</v>
      </c>
      <c r="D35" s="155" t="s">
        <v>127</v>
      </c>
      <c r="E35" s="155" t="s">
        <v>20</v>
      </c>
      <c r="F35" s="155" t="s">
        <v>21</v>
      </c>
      <c r="G35" s="158" t="s">
        <v>209</v>
      </c>
      <c r="H35" s="158" t="s">
        <v>210</v>
      </c>
      <c r="I35" s="159" t="s">
        <v>211</v>
      </c>
      <c r="J35" s="159" t="s">
        <v>211</v>
      </c>
      <c r="K35" s="159" t="s">
        <v>71</v>
      </c>
      <c r="L35" s="159" t="s">
        <v>26</v>
      </c>
      <c r="M35" s="159" t="s">
        <v>72</v>
      </c>
      <c r="N35" s="159" t="s">
        <v>28</v>
      </c>
      <c r="O35" s="159" t="s">
        <v>29</v>
      </c>
      <c r="P35" s="159" t="s">
        <v>212</v>
      </c>
    </row>
    <row r="36" spans="1:16" x14ac:dyDescent="0.25">
      <c r="A36" s="155" t="s">
        <v>213</v>
      </c>
      <c r="B36" s="155" t="s">
        <v>18</v>
      </c>
      <c r="C36" s="155" t="s">
        <v>214</v>
      </c>
      <c r="D36" s="155" t="s">
        <v>213</v>
      </c>
      <c r="E36" s="155" t="s">
        <v>215</v>
      </c>
      <c r="F36" s="155" t="s">
        <v>216</v>
      </c>
      <c r="G36" s="158" t="s">
        <v>217</v>
      </c>
      <c r="H36" s="158" t="s">
        <v>218</v>
      </c>
      <c r="I36" s="158" t="s">
        <v>219</v>
      </c>
      <c r="J36" s="158" t="s">
        <v>219</v>
      </c>
      <c r="K36" s="158" t="s">
        <v>220</v>
      </c>
      <c r="L36" s="158" t="s">
        <v>26</v>
      </c>
      <c r="M36" s="158" t="s">
        <v>221</v>
      </c>
      <c r="N36" s="158" t="s">
        <v>28</v>
      </c>
      <c r="O36" s="158" t="s">
        <v>222</v>
      </c>
      <c r="P36" s="158" t="s">
        <v>223</v>
      </c>
    </row>
    <row r="37" spans="1:16" x14ac:dyDescent="0.25">
      <c r="A37" s="155" t="s">
        <v>224</v>
      </c>
      <c r="B37" s="155" t="s">
        <v>18</v>
      </c>
      <c r="C37" s="155" t="s">
        <v>225</v>
      </c>
      <c r="D37" s="155" t="s">
        <v>224</v>
      </c>
      <c r="E37" s="155" t="s">
        <v>215</v>
      </c>
      <c r="F37" s="155" t="s">
        <v>216</v>
      </c>
      <c r="G37" s="158" t="s">
        <v>226</v>
      </c>
      <c r="H37" s="158" t="s">
        <v>227</v>
      </c>
      <c r="I37" s="158" t="s">
        <v>228</v>
      </c>
      <c r="J37" s="158" t="s">
        <v>228</v>
      </c>
      <c r="K37" s="158" t="s">
        <v>220</v>
      </c>
      <c r="L37" s="158" t="s">
        <v>26</v>
      </c>
      <c r="M37" s="158" t="s">
        <v>221</v>
      </c>
      <c r="N37" s="158" t="s">
        <v>28</v>
      </c>
      <c r="O37" s="158" t="s">
        <v>222</v>
      </c>
      <c r="P37" s="158" t="s">
        <v>229</v>
      </c>
    </row>
    <row r="38" spans="1:16" x14ac:dyDescent="0.25">
      <c r="A38" s="155" t="s">
        <v>230</v>
      </c>
      <c r="B38" s="155" t="s">
        <v>18</v>
      </c>
      <c r="C38" s="155" t="s">
        <v>231</v>
      </c>
      <c r="D38" s="155" t="s">
        <v>230</v>
      </c>
      <c r="E38" s="155" t="s">
        <v>215</v>
      </c>
      <c r="F38" s="155" t="s">
        <v>216</v>
      </c>
      <c r="G38" s="158" t="s">
        <v>232</v>
      </c>
      <c r="H38" s="158" t="s">
        <v>233</v>
      </c>
      <c r="I38" s="158" t="s">
        <v>234</v>
      </c>
      <c r="J38" s="158" t="s">
        <v>234</v>
      </c>
      <c r="K38" s="158" t="s">
        <v>235</v>
      </c>
      <c r="L38" s="158" t="s">
        <v>26</v>
      </c>
      <c r="M38" s="158" t="s">
        <v>236</v>
      </c>
      <c r="N38" s="158" t="s">
        <v>28</v>
      </c>
      <c r="O38" s="158" t="s">
        <v>39</v>
      </c>
      <c r="P38" s="158" t="s">
        <v>237</v>
      </c>
    </row>
    <row r="39" spans="1:16" x14ac:dyDescent="0.25">
      <c r="A39" s="155" t="s">
        <v>238</v>
      </c>
      <c r="B39" s="155" t="s">
        <v>18</v>
      </c>
      <c r="C39" s="155" t="s">
        <v>239</v>
      </c>
      <c r="D39" s="155" t="s">
        <v>238</v>
      </c>
      <c r="E39" s="155" t="s">
        <v>215</v>
      </c>
      <c r="F39" s="155" t="s">
        <v>216</v>
      </c>
      <c r="G39" s="158" t="s">
        <v>240</v>
      </c>
      <c r="H39" s="158" t="s">
        <v>241</v>
      </c>
      <c r="I39" s="158" t="s">
        <v>242</v>
      </c>
      <c r="J39" s="158" t="s">
        <v>242</v>
      </c>
      <c r="K39" s="158" t="s">
        <v>235</v>
      </c>
      <c r="L39" s="158" t="s">
        <v>26</v>
      </c>
      <c r="M39" s="158" t="s">
        <v>236</v>
      </c>
      <c r="N39" s="158" t="s">
        <v>28</v>
      </c>
      <c r="O39" s="158" t="s">
        <v>39</v>
      </c>
      <c r="P39" s="158" t="s">
        <v>243</v>
      </c>
    </row>
    <row r="40" spans="1:16" x14ac:dyDescent="0.25">
      <c r="A40" s="155" t="s">
        <v>244</v>
      </c>
      <c r="B40" s="155" t="s">
        <v>18</v>
      </c>
      <c r="C40" s="155" t="s">
        <v>245</v>
      </c>
      <c r="D40" s="155" t="s">
        <v>244</v>
      </c>
      <c r="E40" s="155" t="s">
        <v>215</v>
      </c>
      <c r="F40" s="155" t="s">
        <v>216</v>
      </c>
      <c r="G40" s="158" t="s">
        <v>246</v>
      </c>
      <c r="H40" s="158" t="s">
        <v>247</v>
      </c>
      <c r="I40" s="158" t="s">
        <v>248</v>
      </c>
      <c r="J40" s="158" t="s">
        <v>249</v>
      </c>
      <c r="K40" s="158" t="s">
        <v>250</v>
      </c>
      <c r="L40" s="158" t="s">
        <v>251</v>
      </c>
      <c r="M40" s="158" t="s">
        <v>252</v>
      </c>
      <c r="N40" s="158" t="s">
        <v>253</v>
      </c>
      <c r="O40" s="158" t="s">
        <v>254</v>
      </c>
      <c r="P40" s="158" t="s">
        <v>255</v>
      </c>
    </row>
    <row r="41" spans="1:16" x14ac:dyDescent="0.25">
      <c r="A41" s="155" t="s">
        <v>256</v>
      </c>
      <c r="B41" s="155" t="s">
        <v>18</v>
      </c>
      <c r="C41" s="155" t="s">
        <v>257</v>
      </c>
      <c r="D41" s="155" t="s">
        <v>256</v>
      </c>
      <c r="E41" s="155" t="s">
        <v>215</v>
      </c>
      <c r="F41" s="155" t="s">
        <v>216</v>
      </c>
      <c r="G41" s="158" t="s">
        <v>258</v>
      </c>
      <c r="H41" s="158" t="s">
        <v>259</v>
      </c>
      <c r="I41" s="158" t="s">
        <v>260</v>
      </c>
      <c r="J41" s="158" t="s">
        <v>249</v>
      </c>
      <c r="K41" s="158" t="s">
        <v>261</v>
      </c>
      <c r="L41" s="158" t="s">
        <v>251</v>
      </c>
      <c r="M41" s="158" t="s">
        <v>262</v>
      </c>
      <c r="N41" s="158" t="s">
        <v>28</v>
      </c>
      <c r="O41" s="158" t="s">
        <v>263</v>
      </c>
      <c r="P41" s="158" t="s">
        <v>264</v>
      </c>
    </row>
    <row r="42" spans="1:16" x14ac:dyDescent="0.25">
      <c r="A42" s="155" t="s">
        <v>265</v>
      </c>
      <c r="B42" s="155" t="s">
        <v>18</v>
      </c>
      <c r="C42" s="155" t="s">
        <v>266</v>
      </c>
      <c r="D42" s="155" t="s">
        <v>265</v>
      </c>
      <c r="E42" s="155" t="s">
        <v>215</v>
      </c>
      <c r="F42" s="155" t="s">
        <v>216</v>
      </c>
      <c r="G42" s="158" t="s">
        <v>267</v>
      </c>
      <c r="H42" s="158" t="s">
        <v>268</v>
      </c>
      <c r="I42" s="158" t="s">
        <v>269</v>
      </c>
      <c r="J42" s="158" t="s">
        <v>270</v>
      </c>
      <c r="K42" s="158" t="s">
        <v>235</v>
      </c>
      <c r="L42" s="158" t="s">
        <v>26</v>
      </c>
      <c r="M42" s="158" t="s">
        <v>236</v>
      </c>
      <c r="N42" s="158" t="s">
        <v>28</v>
      </c>
      <c r="O42" s="158" t="s">
        <v>39</v>
      </c>
      <c r="P42" s="158" t="s">
        <v>264</v>
      </c>
    </row>
    <row r="43" spans="1:16" x14ac:dyDescent="0.25">
      <c r="A43" s="155" t="s">
        <v>271</v>
      </c>
      <c r="B43" s="155" t="s">
        <v>18</v>
      </c>
      <c r="C43" s="155" t="s">
        <v>272</v>
      </c>
      <c r="D43" s="155" t="s">
        <v>273</v>
      </c>
      <c r="E43" s="155" t="s">
        <v>215</v>
      </c>
      <c r="F43" s="155" t="s">
        <v>216</v>
      </c>
      <c r="G43" s="158" t="s">
        <v>274</v>
      </c>
      <c r="H43" s="158" t="s">
        <v>275</v>
      </c>
      <c r="I43" s="158" t="s">
        <v>276</v>
      </c>
      <c r="J43" s="158" t="s">
        <v>276</v>
      </c>
      <c r="K43" s="158" t="s">
        <v>235</v>
      </c>
      <c r="L43" s="158" t="s">
        <v>26</v>
      </c>
      <c r="M43" s="158" t="s">
        <v>236</v>
      </c>
      <c r="N43" s="158" t="s">
        <v>28</v>
      </c>
      <c r="O43" s="158" t="s">
        <v>39</v>
      </c>
      <c r="P43" s="158" t="s">
        <v>277</v>
      </c>
    </row>
    <row r="44" spans="1:16" x14ac:dyDescent="0.25">
      <c r="A44" s="155" t="s">
        <v>278</v>
      </c>
      <c r="B44" s="155" t="s">
        <v>18</v>
      </c>
      <c r="C44" s="155" t="s">
        <v>272</v>
      </c>
      <c r="D44" s="155" t="s">
        <v>273</v>
      </c>
      <c r="E44" s="155" t="s">
        <v>215</v>
      </c>
      <c r="F44" s="155" t="s">
        <v>216</v>
      </c>
      <c r="G44" s="158" t="s">
        <v>279</v>
      </c>
      <c r="H44" s="158" t="s">
        <v>280</v>
      </c>
      <c r="I44" s="158" t="s">
        <v>281</v>
      </c>
      <c r="J44" s="158" t="s">
        <v>281</v>
      </c>
      <c r="K44" s="158" t="s">
        <v>235</v>
      </c>
      <c r="L44" s="158" t="s">
        <v>26</v>
      </c>
      <c r="M44" s="158" t="s">
        <v>236</v>
      </c>
      <c r="N44" s="158" t="s">
        <v>28</v>
      </c>
      <c r="O44" s="158" t="s">
        <v>39</v>
      </c>
      <c r="P44" s="158" t="s">
        <v>282</v>
      </c>
    </row>
    <row r="45" spans="1:16" x14ac:dyDescent="0.25">
      <c r="A45" s="155" t="s">
        <v>273</v>
      </c>
      <c r="B45" s="155" t="s">
        <v>18</v>
      </c>
      <c r="C45" s="155" t="s">
        <v>272</v>
      </c>
      <c r="D45" s="155" t="s">
        <v>273</v>
      </c>
      <c r="E45" s="155" t="s">
        <v>215</v>
      </c>
      <c r="F45" s="155" t="s">
        <v>216</v>
      </c>
      <c r="G45" s="158" t="s">
        <v>283</v>
      </c>
      <c r="H45" s="158" t="s">
        <v>284</v>
      </c>
      <c r="I45" s="158" t="s">
        <v>285</v>
      </c>
      <c r="J45" s="158" t="s">
        <v>285</v>
      </c>
      <c r="K45" s="158" t="s">
        <v>235</v>
      </c>
      <c r="L45" s="158" t="s">
        <v>26</v>
      </c>
      <c r="M45" s="158" t="s">
        <v>236</v>
      </c>
      <c r="N45" s="158" t="s">
        <v>28</v>
      </c>
      <c r="O45" s="158" t="s">
        <v>39</v>
      </c>
      <c r="P45" s="158" t="s">
        <v>286</v>
      </c>
    </row>
    <row r="46" spans="1:16" x14ac:dyDescent="0.25">
      <c r="A46" s="155" t="s">
        <v>287</v>
      </c>
      <c r="B46" s="155" t="s">
        <v>18</v>
      </c>
      <c r="C46" s="155" t="s">
        <v>288</v>
      </c>
      <c r="D46" s="155" t="s">
        <v>289</v>
      </c>
      <c r="E46" s="155" t="s">
        <v>20</v>
      </c>
      <c r="F46" s="155" t="s">
        <v>21</v>
      </c>
      <c r="G46" s="158" t="s">
        <v>290</v>
      </c>
      <c r="H46" s="158" t="s">
        <v>291</v>
      </c>
      <c r="I46" s="158" t="s">
        <v>292</v>
      </c>
      <c r="J46" s="158" t="s">
        <v>292</v>
      </c>
      <c r="K46" s="158" t="s">
        <v>71</v>
      </c>
      <c r="L46" s="158" t="s">
        <v>26</v>
      </c>
      <c r="M46" s="158" t="s">
        <v>72</v>
      </c>
      <c r="N46" s="158" t="s">
        <v>28</v>
      </c>
      <c r="O46" s="158" t="s">
        <v>29</v>
      </c>
      <c r="P46" s="158" t="s">
        <v>293</v>
      </c>
    </row>
    <row r="47" spans="1:16" x14ac:dyDescent="0.25">
      <c r="A47" s="155" t="s">
        <v>294</v>
      </c>
      <c r="B47" s="155" t="s">
        <v>18</v>
      </c>
      <c r="C47" s="155" t="s">
        <v>288</v>
      </c>
      <c r="D47" s="155" t="s">
        <v>289</v>
      </c>
      <c r="E47" s="155" t="s">
        <v>20</v>
      </c>
      <c r="F47" s="155" t="s">
        <v>21</v>
      </c>
      <c r="G47" s="158" t="s">
        <v>295</v>
      </c>
      <c r="H47" s="158" t="s">
        <v>296</v>
      </c>
      <c r="I47" s="158" t="s">
        <v>297</v>
      </c>
      <c r="J47" s="158" t="s">
        <v>297</v>
      </c>
      <c r="K47" s="158" t="s">
        <v>156</v>
      </c>
      <c r="L47" s="158" t="s">
        <v>26</v>
      </c>
      <c r="M47" s="158" t="s">
        <v>157</v>
      </c>
      <c r="N47" s="158" t="s">
        <v>28</v>
      </c>
      <c r="O47" s="158" t="s">
        <v>29</v>
      </c>
      <c r="P47" s="158" t="s">
        <v>298</v>
      </c>
    </row>
    <row r="48" spans="1:16" x14ac:dyDescent="0.25">
      <c r="A48" s="155" t="s">
        <v>299</v>
      </c>
      <c r="B48" s="155" t="s">
        <v>18</v>
      </c>
      <c r="C48" s="155" t="s">
        <v>288</v>
      </c>
      <c r="D48" s="155" t="s">
        <v>289</v>
      </c>
      <c r="E48" s="155" t="s">
        <v>20</v>
      </c>
      <c r="F48" s="155" t="s">
        <v>21</v>
      </c>
      <c r="G48" s="158" t="s">
        <v>300</v>
      </c>
      <c r="H48" s="158" t="s">
        <v>301</v>
      </c>
      <c r="I48" s="158" t="s">
        <v>302</v>
      </c>
      <c r="J48" s="158" t="s">
        <v>302</v>
      </c>
      <c r="K48" s="158" t="s">
        <v>45</v>
      </c>
      <c r="L48" s="158" t="s">
        <v>26</v>
      </c>
      <c r="M48" s="158" t="s">
        <v>46</v>
      </c>
      <c r="N48" s="158" t="s">
        <v>28</v>
      </c>
      <c r="O48" s="158" t="s">
        <v>29</v>
      </c>
      <c r="P48" s="158" t="s">
        <v>303</v>
      </c>
    </row>
    <row r="49" spans="1:16" x14ac:dyDescent="0.25">
      <c r="A49" s="155" t="s">
        <v>304</v>
      </c>
      <c r="B49" s="155" t="s">
        <v>18</v>
      </c>
      <c r="C49" s="155" t="s">
        <v>288</v>
      </c>
      <c r="D49" s="155" t="s">
        <v>289</v>
      </c>
      <c r="E49" s="155" t="s">
        <v>20</v>
      </c>
      <c r="F49" s="155" t="s">
        <v>21</v>
      </c>
      <c r="G49" s="158" t="s">
        <v>305</v>
      </c>
      <c r="H49" s="158" t="s">
        <v>306</v>
      </c>
      <c r="I49" s="158" t="s">
        <v>307</v>
      </c>
      <c r="J49" s="158" t="s">
        <v>307</v>
      </c>
      <c r="K49" s="158" t="s">
        <v>156</v>
      </c>
      <c r="L49" s="158" t="s">
        <v>26</v>
      </c>
      <c r="M49" s="158" t="s">
        <v>157</v>
      </c>
      <c r="N49" s="158" t="s">
        <v>28</v>
      </c>
      <c r="O49" s="158" t="s">
        <v>29</v>
      </c>
      <c r="P49" s="158" t="s">
        <v>308</v>
      </c>
    </row>
    <row r="50" spans="1:16" x14ac:dyDescent="0.25">
      <c r="A50" s="155" t="s">
        <v>309</v>
      </c>
      <c r="B50" s="155" t="s">
        <v>18</v>
      </c>
      <c r="C50" s="155" t="s">
        <v>288</v>
      </c>
      <c r="D50" s="155" t="s">
        <v>289</v>
      </c>
      <c r="E50" s="155" t="s">
        <v>20</v>
      </c>
      <c r="F50" s="155" t="s">
        <v>21</v>
      </c>
      <c r="G50" s="158" t="s">
        <v>310</v>
      </c>
      <c r="H50" s="158" t="s">
        <v>311</v>
      </c>
      <c r="I50" s="158" t="s">
        <v>312</v>
      </c>
      <c r="J50" s="158" t="s">
        <v>312</v>
      </c>
      <c r="K50" s="158" t="s">
        <v>71</v>
      </c>
      <c r="L50" s="158" t="s">
        <v>26</v>
      </c>
      <c r="M50" s="158" t="s">
        <v>72</v>
      </c>
      <c r="N50" s="158" t="s">
        <v>28</v>
      </c>
      <c r="O50" s="158" t="s">
        <v>29</v>
      </c>
      <c r="P50" s="158" t="s">
        <v>313</v>
      </c>
    </row>
    <row r="51" spans="1:16" x14ac:dyDescent="0.25">
      <c r="A51" s="155" t="s">
        <v>314</v>
      </c>
      <c r="B51" s="155" t="s">
        <v>18</v>
      </c>
      <c r="C51" s="155" t="s">
        <v>288</v>
      </c>
      <c r="D51" s="155" t="s">
        <v>289</v>
      </c>
      <c r="E51" s="155" t="s">
        <v>20</v>
      </c>
      <c r="F51" s="155" t="s">
        <v>21</v>
      </c>
      <c r="G51" s="158" t="s">
        <v>315</v>
      </c>
      <c r="H51" s="158" t="s">
        <v>316</v>
      </c>
      <c r="I51" s="158" t="s">
        <v>317</v>
      </c>
      <c r="J51" s="158" t="s">
        <v>317</v>
      </c>
      <c r="K51" s="158" t="s">
        <v>71</v>
      </c>
      <c r="L51" s="158" t="s">
        <v>26</v>
      </c>
      <c r="M51" s="158" t="s">
        <v>72</v>
      </c>
      <c r="N51" s="158" t="s">
        <v>28</v>
      </c>
      <c r="O51" s="158" t="s">
        <v>29</v>
      </c>
      <c r="P51" s="158" t="s">
        <v>318</v>
      </c>
    </row>
    <row r="52" spans="1:16" x14ac:dyDescent="0.25">
      <c r="A52" s="155" t="s">
        <v>319</v>
      </c>
      <c r="B52" s="155" t="s">
        <v>18</v>
      </c>
      <c r="C52" s="155" t="s">
        <v>288</v>
      </c>
      <c r="D52" s="155" t="s">
        <v>289</v>
      </c>
      <c r="E52" s="155" t="s">
        <v>20</v>
      </c>
      <c r="F52" s="155" t="s">
        <v>21</v>
      </c>
      <c r="G52" s="158" t="s">
        <v>320</v>
      </c>
      <c r="H52" s="158" t="s">
        <v>321</v>
      </c>
      <c r="I52" s="158" t="s">
        <v>322</v>
      </c>
      <c r="J52" s="158" t="s">
        <v>322</v>
      </c>
      <c r="K52" s="158" t="s">
        <v>37</v>
      </c>
      <c r="L52" s="158" t="s">
        <v>26</v>
      </c>
      <c r="M52" s="158" t="s">
        <v>38</v>
      </c>
      <c r="N52" s="158" t="s">
        <v>28</v>
      </c>
      <c r="O52" s="158" t="s">
        <v>39</v>
      </c>
      <c r="P52" s="158" t="s">
        <v>323</v>
      </c>
    </row>
    <row r="53" spans="1:16" x14ac:dyDescent="0.25">
      <c r="A53" s="155" t="s">
        <v>289</v>
      </c>
      <c r="B53" s="155" t="s">
        <v>18</v>
      </c>
      <c r="C53" s="155" t="s">
        <v>288</v>
      </c>
      <c r="D53" s="155" t="s">
        <v>289</v>
      </c>
      <c r="E53" s="155" t="s">
        <v>20</v>
      </c>
      <c r="F53" s="155" t="s">
        <v>21</v>
      </c>
      <c r="G53" s="158" t="s">
        <v>324</v>
      </c>
      <c r="H53" s="158" t="s">
        <v>325</v>
      </c>
      <c r="I53" s="158" t="s">
        <v>326</v>
      </c>
      <c r="J53" s="158" t="s">
        <v>326</v>
      </c>
      <c r="K53" s="158" t="s">
        <v>71</v>
      </c>
      <c r="L53" s="158" t="s">
        <v>26</v>
      </c>
      <c r="M53" s="158" t="s">
        <v>72</v>
      </c>
      <c r="N53" s="158" t="s">
        <v>28</v>
      </c>
      <c r="O53" s="158" t="s">
        <v>29</v>
      </c>
      <c r="P53" s="158" t="s">
        <v>327</v>
      </c>
    </row>
    <row r="54" spans="1:16" x14ac:dyDescent="0.25">
      <c r="A54" s="155" t="s">
        <v>328</v>
      </c>
      <c r="B54" s="155" t="s">
        <v>18</v>
      </c>
      <c r="C54" s="155" t="s">
        <v>288</v>
      </c>
      <c r="D54" s="155" t="s">
        <v>289</v>
      </c>
      <c r="E54" s="155" t="s">
        <v>20</v>
      </c>
      <c r="F54" s="155" t="s">
        <v>21</v>
      </c>
      <c r="G54" s="158" t="s">
        <v>329</v>
      </c>
      <c r="H54" s="158" t="s">
        <v>330</v>
      </c>
      <c r="I54" s="158" t="s">
        <v>331</v>
      </c>
      <c r="J54" s="158" t="s">
        <v>331</v>
      </c>
      <c r="K54" s="158" t="s">
        <v>71</v>
      </c>
      <c r="L54" s="158" t="s">
        <v>26</v>
      </c>
      <c r="M54" s="158" t="s">
        <v>72</v>
      </c>
      <c r="N54" s="158" t="s">
        <v>28</v>
      </c>
      <c r="O54" s="158" t="s">
        <v>29</v>
      </c>
      <c r="P54" s="158" t="s">
        <v>332</v>
      </c>
    </row>
    <row r="55" spans="1:16" x14ac:dyDescent="0.25">
      <c r="A55" s="155" t="s">
        <v>333</v>
      </c>
      <c r="B55" s="155" t="s">
        <v>18</v>
      </c>
      <c r="C55" s="155" t="s">
        <v>288</v>
      </c>
      <c r="D55" s="155" t="s">
        <v>289</v>
      </c>
      <c r="E55" s="155" t="s">
        <v>20</v>
      </c>
      <c r="F55" s="155" t="s">
        <v>21</v>
      </c>
      <c r="G55" s="158" t="s">
        <v>334</v>
      </c>
      <c r="H55" s="158" t="s">
        <v>335</v>
      </c>
      <c r="I55" s="158" t="s">
        <v>336</v>
      </c>
      <c r="J55" s="158" t="s">
        <v>336</v>
      </c>
      <c r="K55" s="158" t="s">
        <v>71</v>
      </c>
      <c r="L55" s="158" t="s">
        <v>26</v>
      </c>
      <c r="M55" s="158" t="s">
        <v>72</v>
      </c>
      <c r="N55" s="158" t="s">
        <v>28</v>
      </c>
      <c r="O55" s="158" t="s">
        <v>29</v>
      </c>
      <c r="P55" s="158" t="s">
        <v>337</v>
      </c>
    </row>
    <row r="56" spans="1:16" x14ac:dyDescent="0.25">
      <c r="A56" s="155" t="s">
        <v>338</v>
      </c>
      <c r="B56" s="155" t="s">
        <v>18</v>
      </c>
      <c r="C56" s="155" t="s">
        <v>288</v>
      </c>
      <c r="D56" s="155" t="s">
        <v>289</v>
      </c>
      <c r="E56" s="155" t="s">
        <v>20</v>
      </c>
      <c r="F56" s="155" t="s">
        <v>21</v>
      </c>
      <c r="G56" s="158" t="s">
        <v>339</v>
      </c>
      <c r="H56" s="158" t="s">
        <v>340</v>
      </c>
      <c r="I56" s="158" t="s">
        <v>341</v>
      </c>
      <c r="J56" s="158" t="s">
        <v>341</v>
      </c>
      <c r="K56" s="158" t="s">
        <v>71</v>
      </c>
      <c r="L56" s="158" t="s">
        <v>26</v>
      </c>
      <c r="M56" s="158" t="s">
        <v>72</v>
      </c>
      <c r="N56" s="158" t="s">
        <v>28</v>
      </c>
      <c r="O56" s="158" t="s">
        <v>29</v>
      </c>
      <c r="P56" s="158" t="s">
        <v>342</v>
      </c>
    </row>
    <row r="57" spans="1:16" x14ac:dyDescent="0.25">
      <c r="A57" s="155" t="s">
        <v>343</v>
      </c>
      <c r="B57" s="155" t="s">
        <v>18</v>
      </c>
      <c r="C57" s="155" t="s">
        <v>288</v>
      </c>
      <c r="D57" s="155" t="s">
        <v>289</v>
      </c>
      <c r="E57" s="155" t="s">
        <v>20</v>
      </c>
      <c r="F57" s="155" t="s">
        <v>21</v>
      </c>
      <c r="G57" s="158" t="s">
        <v>344</v>
      </c>
      <c r="H57" s="158" t="s">
        <v>345</v>
      </c>
      <c r="I57" s="158" t="s">
        <v>346</v>
      </c>
      <c r="J57" s="158" t="s">
        <v>346</v>
      </c>
      <c r="K57" s="158" t="s">
        <v>71</v>
      </c>
      <c r="L57" s="158" t="s">
        <v>26</v>
      </c>
      <c r="M57" s="158" t="s">
        <v>72</v>
      </c>
      <c r="N57" s="158" t="s">
        <v>28</v>
      </c>
      <c r="O57" s="158" t="s">
        <v>29</v>
      </c>
      <c r="P57" s="158" t="s">
        <v>347</v>
      </c>
    </row>
    <row r="58" spans="1:16" x14ac:dyDescent="0.25">
      <c r="A58" s="155" t="s">
        <v>348</v>
      </c>
      <c r="B58" s="155" t="s">
        <v>18</v>
      </c>
      <c r="C58" s="155" t="s">
        <v>288</v>
      </c>
      <c r="D58" s="155" t="s">
        <v>289</v>
      </c>
      <c r="E58" s="155" t="s">
        <v>20</v>
      </c>
      <c r="F58" s="155" t="s">
        <v>21</v>
      </c>
      <c r="G58" s="158" t="s">
        <v>349</v>
      </c>
      <c r="H58" s="158" t="s">
        <v>350</v>
      </c>
      <c r="I58" s="158" t="s">
        <v>351</v>
      </c>
      <c r="J58" s="158" t="s">
        <v>351</v>
      </c>
      <c r="K58" s="158" t="s">
        <v>71</v>
      </c>
      <c r="L58" s="158" t="s">
        <v>26</v>
      </c>
      <c r="M58" s="158" t="s">
        <v>72</v>
      </c>
      <c r="N58" s="158" t="s">
        <v>28</v>
      </c>
      <c r="O58" s="158" t="s">
        <v>29</v>
      </c>
      <c r="P58" s="158" t="s">
        <v>352</v>
      </c>
    </row>
    <row r="59" spans="1:16" x14ac:dyDescent="0.25">
      <c r="A59" s="155" t="s">
        <v>353</v>
      </c>
      <c r="B59" s="155" t="s">
        <v>18</v>
      </c>
      <c r="C59" s="155" t="s">
        <v>354</v>
      </c>
      <c r="D59" s="155" t="s">
        <v>348</v>
      </c>
      <c r="E59" s="155" t="s">
        <v>20</v>
      </c>
      <c r="F59" s="155" t="s">
        <v>21</v>
      </c>
      <c r="G59" s="158" t="s">
        <v>355</v>
      </c>
      <c r="H59" s="158" t="s">
        <v>356</v>
      </c>
      <c r="I59" s="158" t="s">
        <v>357</v>
      </c>
      <c r="J59" s="158" t="s">
        <v>357</v>
      </c>
      <c r="K59" s="158" t="s">
        <v>358</v>
      </c>
      <c r="L59" s="158" t="s">
        <v>26</v>
      </c>
      <c r="M59" s="158" t="s">
        <v>359</v>
      </c>
      <c r="N59" s="158" t="s">
        <v>28</v>
      </c>
      <c r="O59" s="158" t="s">
        <v>39</v>
      </c>
      <c r="P59" s="158" t="s">
        <v>360</v>
      </c>
    </row>
    <row r="60" spans="1:16" x14ac:dyDescent="0.25">
      <c r="A60" s="155" t="s">
        <v>361</v>
      </c>
      <c r="B60" s="155" t="s">
        <v>18</v>
      </c>
      <c r="C60" s="155" t="s">
        <v>362</v>
      </c>
      <c r="D60" s="155" t="s">
        <v>363</v>
      </c>
      <c r="E60" s="155" t="s">
        <v>20</v>
      </c>
      <c r="F60" s="155" t="s">
        <v>21</v>
      </c>
      <c r="G60" s="158" t="s">
        <v>364</v>
      </c>
      <c r="H60" s="158" t="s">
        <v>365</v>
      </c>
      <c r="I60" s="158" t="s">
        <v>366</v>
      </c>
      <c r="J60" s="158" t="s">
        <v>366</v>
      </c>
      <c r="K60" s="158" t="s">
        <v>358</v>
      </c>
      <c r="L60" s="158" t="s">
        <v>26</v>
      </c>
      <c r="M60" s="158" t="s">
        <v>359</v>
      </c>
      <c r="N60" s="158" t="s">
        <v>28</v>
      </c>
      <c r="O60" s="158" t="s">
        <v>39</v>
      </c>
      <c r="P60" s="158" t="s">
        <v>367</v>
      </c>
    </row>
    <row r="61" spans="1:16" x14ac:dyDescent="0.25">
      <c r="A61" s="155" t="s">
        <v>363</v>
      </c>
      <c r="B61" s="155" t="s">
        <v>18</v>
      </c>
      <c r="C61" s="155" t="s">
        <v>368</v>
      </c>
      <c r="D61" s="155" t="s">
        <v>363</v>
      </c>
      <c r="E61" s="155" t="s">
        <v>20</v>
      </c>
      <c r="F61" s="155" t="s">
        <v>21</v>
      </c>
      <c r="G61" s="158" t="s">
        <v>369</v>
      </c>
      <c r="H61" s="158" t="s">
        <v>370</v>
      </c>
      <c r="I61" s="158" t="s">
        <v>371</v>
      </c>
      <c r="J61" s="158" t="s">
        <v>371</v>
      </c>
      <c r="K61" s="158" t="s">
        <v>372</v>
      </c>
      <c r="L61" s="158" t="s">
        <v>373</v>
      </c>
      <c r="M61" s="158" t="s">
        <v>374</v>
      </c>
      <c r="N61" s="158" t="s">
        <v>28</v>
      </c>
      <c r="O61" s="158" t="s">
        <v>375</v>
      </c>
      <c r="P61" s="158" t="s">
        <v>376</v>
      </c>
    </row>
    <row r="62" spans="1:16" x14ac:dyDescent="0.25">
      <c r="A62" s="155" t="s">
        <v>377</v>
      </c>
      <c r="B62" s="155" t="s">
        <v>18</v>
      </c>
      <c r="C62" s="155" t="s">
        <v>378</v>
      </c>
      <c r="D62" s="155" t="s">
        <v>379</v>
      </c>
      <c r="E62" s="155" t="s">
        <v>20</v>
      </c>
      <c r="F62" s="155" t="s">
        <v>21</v>
      </c>
      <c r="G62" s="158" t="s">
        <v>380</v>
      </c>
      <c r="H62" s="158" t="s">
        <v>381</v>
      </c>
      <c r="I62" s="158" t="s">
        <v>382</v>
      </c>
      <c r="J62" s="158" t="s">
        <v>382</v>
      </c>
      <c r="K62" s="158" t="s">
        <v>383</v>
      </c>
      <c r="L62" s="158" t="s">
        <v>26</v>
      </c>
      <c r="M62" s="158" t="s">
        <v>384</v>
      </c>
      <c r="N62" s="158" t="s">
        <v>385</v>
      </c>
      <c r="O62" s="158" t="s">
        <v>386</v>
      </c>
      <c r="P62" s="158" t="s">
        <v>387</v>
      </c>
    </row>
    <row r="63" spans="1:16" x14ac:dyDescent="0.25">
      <c r="A63" s="155" t="s">
        <v>379</v>
      </c>
      <c r="B63" s="155" t="s">
        <v>18</v>
      </c>
      <c r="C63" s="155" t="s">
        <v>388</v>
      </c>
      <c r="D63" s="155" t="s">
        <v>379</v>
      </c>
      <c r="E63" s="155" t="s">
        <v>20</v>
      </c>
      <c r="F63" s="155" t="s">
        <v>21</v>
      </c>
      <c r="G63" s="158" t="s">
        <v>389</v>
      </c>
      <c r="H63" s="158" t="s">
        <v>390</v>
      </c>
      <c r="I63" s="158" t="s">
        <v>391</v>
      </c>
      <c r="J63" s="158" t="s">
        <v>391</v>
      </c>
      <c r="K63" s="158" t="s">
        <v>71</v>
      </c>
      <c r="L63" s="158" t="s">
        <v>26</v>
      </c>
      <c r="M63" s="158" t="s">
        <v>72</v>
      </c>
      <c r="N63" s="158" t="s">
        <v>28</v>
      </c>
      <c r="O63" s="158" t="s">
        <v>29</v>
      </c>
      <c r="P63" s="158" t="s">
        <v>392</v>
      </c>
    </row>
    <row r="64" spans="1:16" x14ac:dyDescent="0.25">
      <c r="A64" s="155" t="s">
        <v>393</v>
      </c>
      <c r="B64" s="155" t="s">
        <v>18</v>
      </c>
      <c r="C64" s="155" t="s">
        <v>388</v>
      </c>
      <c r="D64" s="155" t="s">
        <v>379</v>
      </c>
      <c r="E64" s="155" t="s">
        <v>20</v>
      </c>
      <c r="F64" s="155" t="s">
        <v>21</v>
      </c>
      <c r="G64" s="158" t="s">
        <v>394</v>
      </c>
      <c r="H64" s="158" t="s">
        <v>395</v>
      </c>
      <c r="I64" s="158" t="s">
        <v>396</v>
      </c>
      <c r="J64" s="158" t="s">
        <v>396</v>
      </c>
      <c r="K64" s="158" t="s">
        <v>71</v>
      </c>
      <c r="L64" s="158" t="s">
        <v>26</v>
      </c>
      <c r="M64" s="158" t="s">
        <v>72</v>
      </c>
      <c r="N64" s="158" t="s">
        <v>28</v>
      </c>
      <c r="O64" s="158" t="s">
        <v>29</v>
      </c>
      <c r="P64" s="158" t="s">
        <v>397</v>
      </c>
    </row>
    <row r="65" spans="1:16" x14ac:dyDescent="0.25">
      <c r="A65" s="155" t="s">
        <v>398</v>
      </c>
      <c r="B65" s="155" t="s">
        <v>18</v>
      </c>
      <c r="C65" s="155" t="s">
        <v>388</v>
      </c>
      <c r="D65" s="155" t="s">
        <v>379</v>
      </c>
      <c r="E65" s="155" t="s">
        <v>20</v>
      </c>
      <c r="F65" s="155" t="s">
        <v>21</v>
      </c>
      <c r="G65" s="158" t="s">
        <v>399</v>
      </c>
      <c r="H65" s="158" t="s">
        <v>400</v>
      </c>
      <c r="I65" s="158" t="s">
        <v>401</v>
      </c>
      <c r="J65" s="158" t="s">
        <v>401</v>
      </c>
      <c r="K65" s="158" t="s">
        <v>45</v>
      </c>
      <c r="L65" s="158" t="s">
        <v>26</v>
      </c>
      <c r="M65" s="158" t="s">
        <v>46</v>
      </c>
      <c r="N65" s="158" t="s">
        <v>28</v>
      </c>
      <c r="O65" s="158" t="s">
        <v>29</v>
      </c>
      <c r="P65" s="158" t="s">
        <v>402</v>
      </c>
    </row>
    <row r="66" spans="1:16" x14ac:dyDescent="0.25">
      <c r="A66" s="155" t="s">
        <v>403</v>
      </c>
      <c r="B66" s="155" t="s">
        <v>18</v>
      </c>
      <c r="C66" s="155" t="s">
        <v>388</v>
      </c>
      <c r="D66" s="155" t="s">
        <v>379</v>
      </c>
      <c r="E66" s="155" t="s">
        <v>20</v>
      </c>
      <c r="F66" s="155" t="s">
        <v>21</v>
      </c>
      <c r="G66" s="158" t="s">
        <v>404</v>
      </c>
      <c r="H66" s="158" t="s">
        <v>405</v>
      </c>
      <c r="I66" s="158" t="s">
        <v>406</v>
      </c>
      <c r="J66" s="158" t="s">
        <v>406</v>
      </c>
      <c r="K66" s="158" t="s">
        <v>156</v>
      </c>
      <c r="L66" s="158" t="s">
        <v>26</v>
      </c>
      <c r="M66" s="158" t="s">
        <v>157</v>
      </c>
      <c r="N66" s="158" t="s">
        <v>28</v>
      </c>
      <c r="O66" s="158" t="s">
        <v>29</v>
      </c>
      <c r="P66" s="158" t="s">
        <v>407</v>
      </c>
    </row>
    <row r="67" spans="1:16" x14ac:dyDescent="0.25">
      <c r="A67" s="155" t="s">
        <v>408</v>
      </c>
      <c r="B67" s="155" t="s">
        <v>18</v>
      </c>
      <c r="C67" s="155" t="s">
        <v>388</v>
      </c>
      <c r="D67" s="155" t="s">
        <v>379</v>
      </c>
      <c r="E67" s="155" t="s">
        <v>20</v>
      </c>
      <c r="F67" s="155" t="s">
        <v>21</v>
      </c>
      <c r="G67" s="158" t="s">
        <v>409</v>
      </c>
      <c r="H67" s="158" t="s">
        <v>410</v>
      </c>
      <c r="I67" s="158" t="s">
        <v>411</v>
      </c>
      <c r="J67" s="158" t="s">
        <v>411</v>
      </c>
      <c r="K67" s="158" t="s">
        <v>37</v>
      </c>
      <c r="L67" s="158" t="s">
        <v>26</v>
      </c>
      <c r="M67" s="158" t="s">
        <v>38</v>
      </c>
      <c r="N67" s="158" t="s">
        <v>28</v>
      </c>
      <c r="O67" s="158" t="s">
        <v>39</v>
      </c>
      <c r="P67" s="158" t="s">
        <v>412</v>
      </c>
    </row>
    <row r="68" spans="1:16" x14ac:dyDescent="0.25">
      <c r="A68" s="155" t="s">
        <v>413</v>
      </c>
      <c r="B68" s="155" t="s">
        <v>18</v>
      </c>
      <c r="C68" s="155" t="s">
        <v>414</v>
      </c>
      <c r="D68" s="155" t="s">
        <v>413</v>
      </c>
      <c r="E68" s="155" t="s">
        <v>20</v>
      </c>
      <c r="F68" s="155" t="s">
        <v>21</v>
      </c>
      <c r="G68" s="158" t="s">
        <v>415</v>
      </c>
      <c r="H68" s="158" t="s">
        <v>416</v>
      </c>
      <c r="I68" s="158" t="s">
        <v>417</v>
      </c>
      <c r="J68" s="158" t="s">
        <v>417</v>
      </c>
      <c r="K68" s="158" t="s">
        <v>25</v>
      </c>
      <c r="L68" s="158" t="s">
        <v>26</v>
      </c>
      <c r="M68" s="158" t="s">
        <v>27</v>
      </c>
      <c r="N68" s="158" t="s">
        <v>28</v>
      </c>
      <c r="O68" s="158" t="s">
        <v>29</v>
      </c>
      <c r="P68" s="158" t="s">
        <v>418</v>
      </c>
    </row>
    <row r="69" spans="1:16" x14ac:dyDescent="0.25">
      <c r="A69" s="155" t="s">
        <v>419</v>
      </c>
      <c r="B69" s="155" t="s">
        <v>18</v>
      </c>
      <c r="C69" s="155" t="s">
        <v>420</v>
      </c>
      <c r="D69" s="155" t="s">
        <v>419</v>
      </c>
      <c r="E69" s="155" t="s">
        <v>20</v>
      </c>
      <c r="F69" s="155" t="s">
        <v>21</v>
      </c>
      <c r="G69" s="158" t="s">
        <v>421</v>
      </c>
      <c r="H69" s="158" t="s">
        <v>422</v>
      </c>
      <c r="I69" s="158" t="s">
        <v>423</v>
      </c>
      <c r="J69" s="158" t="s">
        <v>423</v>
      </c>
      <c r="K69" s="158" t="s">
        <v>220</v>
      </c>
      <c r="L69" s="158" t="s">
        <v>26</v>
      </c>
      <c r="M69" s="158" t="s">
        <v>221</v>
      </c>
      <c r="N69" s="158" t="s">
        <v>28</v>
      </c>
      <c r="O69" s="158" t="s">
        <v>222</v>
      </c>
      <c r="P69" s="158" t="s">
        <v>424</v>
      </c>
    </row>
    <row r="70" spans="1:16" x14ac:dyDescent="0.25">
      <c r="A70" s="155" t="s">
        <v>425</v>
      </c>
      <c r="B70" s="155" t="s">
        <v>18</v>
      </c>
      <c r="C70" s="155" t="s">
        <v>426</v>
      </c>
      <c r="D70" s="155" t="s">
        <v>425</v>
      </c>
      <c r="E70" s="155" t="s">
        <v>20</v>
      </c>
      <c r="F70" s="155" t="s">
        <v>21</v>
      </c>
      <c r="G70" s="158" t="s">
        <v>427</v>
      </c>
      <c r="H70" s="158" t="s">
        <v>428</v>
      </c>
      <c r="I70" s="158" t="s">
        <v>429</v>
      </c>
      <c r="J70" s="158" t="s">
        <v>429</v>
      </c>
      <c r="K70" s="158" t="s">
        <v>220</v>
      </c>
      <c r="L70" s="158" t="s">
        <v>26</v>
      </c>
      <c r="M70" s="158" t="s">
        <v>221</v>
      </c>
      <c r="N70" s="158" t="s">
        <v>28</v>
      </c>
      <c r="O70" s="158" t="s">
        <v>222</v>
      </c>
      <c r="P70" s="158" t="s">
        <v>430</v>
      </c>
    </row>
    <row r="71" spans="1:16" x14ac:dyDescent="0.25">
      <c r="A71" s="155" t="s">
        <v>431</v>
      </c>
      <c r="B71" s="155" t="s">
        <v>18</v>
      </c>
      <c r="C71" s="155" t="s">
        <v>432</v>
      </c>
      <c r="D71" s="155" t="s">
        <v>431</v>
      </c>
      <c r="E71" s="155" t="s">
        <v>20</v>
      </c>
      <c r="F71" s="155" t="s">
        <v>21</v>
      </c>
      <c r="G71" s="158" t="s">
        <v>433</v>
      </c>
      <c r="H71" s="158" t="s">
        <v>434</v>
      </c>
      <c r="I71" s="158" t="s">
        <v>435</v>
      </c>
      <c r="J71" s="158" t="s">
        <v>435</v>
      </c>
      <c r="K71" s="158" t="s">
        <v>220</v>
      </c>
      <c r="L71" s="158" t="s">
        <v>26</v>
      </c>
      <c r="M71" s="158" t="s">
        <v>221</v>
      </c>
      <c r="N71" s="158" t="s">
        <v>28</v>
      </c>
      <c r="O71" s="158" t="s">
        <v>222</v>
      </c>
      <c r="P71" s="158" t="s">
        <v>436</v>
      </c>
    </row>
    <row r="72" spans="1:16" x14ac:dyDescent="0.25">
      <c r="A72" s="155" t="s">
        <v>437</v>
      </c>
      <c r="B72" s="155" t="s">
        <v>18</v>
      </c>
      <c r="C72" s="155" t="s">
        <v>438</v>
      </c>
      <c r="D72" s="155" t="s">
        <v>437</v>
      </c>
      <c r="E72" s="155" t="s">
        <v>20</v>
      </c>
      <c r="F72" s="155" t="s">
        <v>21</v>
      </c>
      <c r="G72" s="158" t="s">
        <v>439</v>
      </c>
      <c r="H72" s="158" t="s">
        <v>440</v>
      </c>
      <c r="I72" s="158" t="s">
        <v>441</v>
      </c>
      <c r="J72" s="158" t="s">
        <v>441</v>
      </c>
      <c r="K72" s="158" t="s">
        <v>220</v>
      </c>
      <c r="L72" s="158" t="s">
        <v>26</v>
      </c>
      <c r="M72" s="158" t="s">
        <v>221</v>
      </c>
      <c r="N72" s="158" t="s">
        <v>28</v>
      </c>
      <c r="O72" s="158" t="s">
        <v>222</v>
      </c>
      <c r="P72" s="158" t="s">
        <v>442</v>
      </c>
    </row>
    <row r="73" spans="1:16" x14ac:dyDescent="0.25">
      <c r="A73" s="155" t="s">
        <v>443</v>
      </c>
      <c r="B73" s="155" t="s">
        <v>18</v>
      </c>
      <c r="C73" s="155" t="s">
        <v>444</v>
      </c>
      <c r="D73" s="155" t="s">
        <v>443</v>
      </c>
      <c r="E73" s="155" t="s">
        <v>20</v>
      </c>
      <c r="F73" s="155" t="s">
        <v>21</v>
      </c>
      <c r="G73" s="158" t="s">
        <v>445</v>
      </c>
      <c r="H73" s="158" t="s">
        <v>446</v>
      </c>
      <c r="I73" s="158" t="s">
        <v>447</v>
      </c>
      <c r="J73" s="158" t="s">
        <v>447</v>
      </c>
      <c r="K73" s="158" t="s">
        <v>25</v>
      </c>
      <c r="L73" s="158" t="s">
        <v>26</v>
      </c>
      <c r="M73" s="158" t="s">
        <v>27</v>
      </c>
      <c r="N73" s="158" t="s">
        <v>28</v>
      </c>
      <c r="O73" s="158" t="s">
        <v>29</v>
      </c>
      <c r="P73" s="158" t="s">
        <v>448</v>
      </c>
    </row>
    <row r="74" spans="1:16" x14ac:dyDescent="0.25">
      <c r="A74" s="155" t="s">
        <v>449</v>
      </c>
      <c r="B74" s="155" t="s">
        <v>18</v>
      </c>
      <c r="C74" s="155" t="s">
        <v>450</v>
      </c>
      <c r="D74" s="155" t="s">
        <v>449</v>
      </c>
      <c r="E74" s="155" t="s">
        <v>20</v>
      </c>
      <c r="F74" s="155" t="s">
        <v>21</v>
      </c>
      <c r="G74" s="158" t="s">
        <v>451</v>
      </c>
      <c r="H74" s="158" t="s">
        <v>452</v>
      </c>
      <c r="I74" s="158" t="s">
        <v>453</v>
      </c>
      <c r="J74" s="158" t="s">
        <v>453</v>
      </c>
      <c r="K74" s="158" t="s">
        <v>25</v>
      </c>
      <c r="L74" s="158" t="s">
        <v>26</v>
      </c>
      <c r="M74" s="158" t="s">
        <v>27</v>
      </c>
      <c r="N74" s="158" t="s">
        <v>28</v>
      </c>
      <c r="O74" s="158" t="s">
        <v>29</v>
      </c>
      <c r="P74" s="158" t="s">
        <v>454</v>
      </c>
    </row>
    <row r="75" spans="1:16" x14ac:dyDescent="0.25">
      <c r="A75" s="155" t="s">
        <v>455</v>
      </c>
      <c r="B75" s="155" t="s">
        <v>18</v>
      </c>
      <c r="C75" s="155" t="s">
        <v>456</v>
      </c>
      <c r="D75" s="155" t="s">
        <v>455</v>
      </c>
      <c r="E75" s="155" t="s">
        <v>20</v>
      </c>
      <c r="F75" s="155" t="s">
        <v>21</v>
      </c>
      <c r="G75" s="158" t="s">
        <v>457</v>
      </c>
      <c r="H75" s="158" t="s">
        <v>458</v>
      </c>
      <c r="I75" s="158" t="s">
        <v>459</v>
      </c>
      <c r="J75" s="158" t="s">
        <v>459</v>
      </c>
      <c r="K75" s="158" t="s">
        <v>25</v>
      </c>
      <c r="L75" s="158" t="s">
        <v>26</v>
      </c>
      <c r="M75" s="158" t="s">
        <v>27</v>
      </c>
      <c r="N75" s="158" t="s">
        <v>28</v>
      </c>
      <c r="O75" s="158" t="s">
        <v>29</v>
      </c>
      <c r="P75" s="158" t="s">
        <v>460</v>
      </c>
    </row>
    <row r="76" spans="1:16" x14ac:dyDescent="0.25">
      <c r="A76" s="155" t="s">
        <v>461</v>
      </c>
      <c r="B76" s="155" t="s">
        <v>18</v>
      </c>
      <c r="C76" s="155" t="s">
        <v>462</v>
      </c>
      <c r="D76" s="155" t="s">
        <v>461</v>
      </c>
      <c r="E76" s="155" t="s">
        <v>20</v>
      </c>
      <c r="F76" s="155" t="s">
        <v>21</v>
      </c>
      <c r="G76" s="158" t="s">
        <v>463</v>
      </c>
      <c r="H76" s="158" t="s">
        <v>464</v>
      </c>
      <c r="I76" s="158" t="s">
        <v>465</v>
      </c>
      <c r="J76" s="158" t="s">
        <v>465</v>
      </c>
      <c r="K76" s="158" t="s">
        <v>25</v>
      </c>
      <c r="L76" s="158" t="s">
        <v>26</v>
      </c>
      <c r="M76" s="158" t="s">
        <v>27</v>
      </c>
      <c r="N76" s="158" t="s">
        <v>28</v>
      </c>
      <c r="O76" s="158" t="s">
        <v>29</v>
      </c>
      <c r="P76" s="158" t="s">
        <v>466</v>
      </c>
    </row>
    <row r="77" spans="1:16" x14ac:dyDescent="0.25">
      <c r="A77" s="155" t="s">
        <v>467</v>
      </c>
      <c r="B77" s="155" t="s">
        <v>468</v>
      </c>
      <c r="C77" s="155" t="s">
        <v>469</v>
      </c>
      <c r="D77" s="155" t="s">
        <v>467</v>
      </c>
      <c r="E77" s="155" t="s">
        <v>20</v>
      </c>
      <c r="F77" s="155" t="s">
        <v>21</v>
      </c>
      <c r="G77" s="158" t="s">
        <v>470</v>
      </c>
      <c r="H77" s="158" t="s">
        <v>471</v>
      </c>
      <c r="I77" s="158" t="s">
        <v>472</v>
      </c>
      <c r="J77" s="158" t="s">
        <v>472</v>
      </c>
      <c r="K77" s="158" t="s">
        <v>235</v>
      </c>
      <c r="L77" s="158" t="s">
        <v>26</v>
      </c>
      <c r="M77" s="158" t="s">
        <v>236</v>
      </c>
      <c r="N77" s="158" t="s">
        <v>28</v>
      </c>
      <c r="O77" s="158" t="s">
        <v>39</v>
      </c>
      <c r="P77" s="158" t="s">
        <v>473</v>
      </c>
    </row>
    <row r="78" spans="1:16" x14ac:dyDescent="0.25">
      <c r="A78" s="155" t="s">
        <v>474</v>
      </c>
      <c r="B78" s="155" t="s">
        <v>468</v>
      </c>
      <c r="C78" s="155" t="s">
        <v>475</v>
      </c>
      <c r="D78" s="155" t="s">
        <v>474</v>
      </c>
      <c r="E78" s="155" t="s">
        <v>20</v>
      </c>
      <c r="F78" s="155" t="s">
        <v>21</v>
      </c>
      <c r="G78" s="158" t="s">
        <v>476</v>
      </c>
      <c r="H78" s="158" t="s">
        <v>477</v>
      </c>
      <c r="I78" s="158" t="s">
        <v>478</v>
      </c>
      <c r="J78" s="158" t="s">
        <v>478</v>
      </c>
      <c r="K78" s="158" t="s">
        <v>235</v>
      </c>
      <c r="L78" s="158" t="s">
        <v>26</v>
      </c>
      <c r="M78" s="158" t="s">
        <v>236</v>
      </c>
      <c r="N78" s="158" t="s">
        <v>28</v>
      </c>
      <c r="O78" s="158" t="s">
        <v>39</v>
      </c>
      <c r="P78" s="158" t="s">
        <v>479</v>
      </c>
    </row>
    <row r="79" spans="1:16" x14ac:dyDescent="0.25">
      <c r="A79" s="155" t="s">
        <v>480</v>
      </c>
      <c r="B79" s="155" t="s">
        <v>468</v>
      </c>
      <c r="C79" s="155" t="s">
        <v>481</v>
      </c>
      <c r="D79" s="155" t="s">
        <v>480</v>
      </c>
      <c r="E79" s="155" t="s">
        <v>20</v>
      </c>
      <c r="F79" s="155" t="s">
        <v>21</v>
      </c>
      <c r="G79" s="158" t="s">
        <v>482</v>
      </c>
      <c r="H79" s="158" t="s">
        <v>483</v>
      </c>
      <c r="I79" s="158" t="s">
        <v>484</v>
      </c>
      <c r="J79" s="158" t="s">
        <v>484</v>
      </c>
      <c r="K79" s="158" t="s">
        <v>235</v>
      </c>
      <c r="L79" s="158" t="s">
        <v>26</v>
      </c>
      <c r="M79" s="158" t="s">
        <v>236</v>
      </c>
      <c r="N79" s="158" t="s">
        <v>28</v>
      </c>
      <c r="O79" s="158" t="s">
        <v>39</v>
      </c>
      <c r="P79" s="158" t="s">
        <v>485</v>
      </c>
    </row>
    <row r="80" spans="1:16" x14ac:dyDescent="0.25">
      <c r="A80" s="155" t="s">
        <v>486</v>
      </c>
      <c r="B80" s="155" t="s">
        <v>468</v>
      </c>
      <c r="C80" s="155" t="s">
        <v>487</v>
      </c>
      <c r="D80" s="155" t="s">
        <v>486</v>
      </c>
      <c r="E80" s="155" t="s">
        <v>20</v>
      </c>
      <c r="F80" s="155" t="s">
        <v>21</v>
      </c>
      <c r="G80" s="158" t="s">
        <v>488</v>
      </c>
      <c r="H80" s="158" t="s">
        <v>489</v>
      </c>
      <c r="I80" s="158" t="s">
        <v>490</v>
      </c>
      <c r="J80" s="158" t="s">
        <v>490</v>
      </c>
      <c r="K80" s="158" t="s">
        <v>235</v>
      </c>
      <c r="L80" s="158" t="s">
        <v>26</v>
      </c>
      <c r="M80" s="158" t="s">
        <v>236</v>
      </c>
      <c r="N80" s="158" t="s">
        <v>28</v>
      </c>
      <c r="O80" s="158" t="s">
        <v>39</v>
      </c>
      <c r="P80" s="158" t="s">
        <v>491</v>
      </c>
    </row>
    <row r="81" spans="1:16" x14ac:dyDescent="0.25">
      <c r="A81" s="155" t="s">
        <v>492</v>
      </c>
      <c r="B81" s="155" t="s">
        <v>468</v>
      </c>
      <c r="C81" s="155" t="s">
        <v>493</v>
      </c>
      <c r="D81" s="155" t="s">
        <v>492</v>
      </c>
      <c r="E81" s="155" t="s">
        <v>20</v>
      </c>
      <c r="F81" s="155" t="s">
        <v>21</v>
      </c>
      <c r="G81" s="158" t="s">
        <v>494</v>
      </c>
      <c r="H81" s="158" t="s">
        <v>495</v>
      </c>
      <c r="I81" s="158" t="s">
        <v>496</v>
      </c>
      <c r="J81" s="158" t="s">
        <v>496</v>
      </c>
      <c r="K81" s="158" t="s">
        <v>235</v>
      </c>
      <c r="L81" s="158" t="s">
        <v>26</v>
      </c>
      <c r="M81" s="158" t="s">
        <v>236</v>
      </c>
      <c r="N81" s="158" t="s">
        <v>28</v>
      </c>
      <c r="O81" s="158" t="s">
        <v>39</v>
      </c>
      <c r="P81" s="158" t="s">
        <v>497</v>
      </c>
    </row>
    <row r="82" spans="1:16" x14ac:dyDescent="0.25">
      <c r="A82" s="155" t="s">
        <v>498</v>
      </c>
      <c r="B82" s="155" t="s">
        <v>468</v>
      </c>
      <c r="C82" s="155" t="s">
        <v>499</v>
      </c>
      <c r="D82" s="155" t="s">
        <v>498</v>
      </c>
      <c r="E82" s="155" t="s">
        <v>20</v>
      </c>
      <c r="F82" s="155" t="s">
        <v>21</v>
      </c>
      <c r="G82" s="158" t="s">
        <v>500</v>
      </c>
      <c r="H82" s="158" t="s">
        <v>501</v>
      </c>
      <c r="I82" s="158" t="s">
        <v>502</v>
      </c>
      <c r="J82" s="158" t="s">
        <v>502</v>
      </c>
      <c r="K82" s="158" t="s">
        <v>235</v>
      </c>
      <c r="L82" s="158" t="s">
        <v>26</v>
      </c>
      <c r="M82" s="158" t="s">
        <v>236</v>
      </c>
      <c r="N82" s="158" t="s">
        <v>28</v>
      </c>
      <c r="O82" s="158" t="s">
        <v>39</v>
      </c>
      <c r="P82" s="158" t="s">
        <v>503</v>
      </c>
    </row>
    <row r="83" spans="1:16" x14ac:dyDescent="0.25">
      <c r="A83" s="155" t="s">
        <v>504</v>
      </c>
      <c r="B83" s="155" t="s">
        <v>468</v>
      </c>
      <c r="C83" s="155" t="s">
        <v>505</v>
      </c>
      <c r="D83" s="155" t="s">
        <v>504</v>
      </c>
      <c r="E83" s="155" t="s">
        <v>20</v>
      </c>
      <c r="F83" s="155" t="s">
        <v>21</v>
      </c>
      <c r="G83" s="158" t="s">
        <v>506</v>
      </c>
      <c r="H83" s="158" t="s">
        <v>507</v>
      </c>
      <c r="I83" s="158" t="s">
        <v>508</v>
      </c>
      <c r="J83" s="158" t="s">
        <v>508</v>
      </c>
      <c r="K83" s="158" t="s">
        <v>235</v>
      </c>
      <c r="L83" s="158" t="s">
        <v>26</v>
      </c>
      <c r="M83" s="158" t="s">
        <v>236</v>
      </c>
      <c r="N83" s="158" t="s">
        <v>28</v>
      </c>
      <c r="O83" s="158" t="s">
        <v>39</v>
      </c>
      <c r="P83" s="158" t="s">
        <v>509</v>
      </c>
    </row>
    <row r="84" spans="1:16" x14ac:dyDescent="0.25">
      <c r="A84" s="155" t="s">
        <v>510</v>
      </c>
      <c r="B84" s="155" t="s">
        <v>468</v>
      </c>
      <c r="C84" s="155" t="s">
        <v>511</v>
      </c>
      <c r="D84" s="155" t="s">
        <v>510</v>
      </c>
      <c r="E84" s="155" t="s">
        <v>20</v>
      </c>
      <c r="F84" s="155" t="s">
        <v>21</v>
      </c>
      <c r="G84" s="158" t="s">
        <v>512</v>
      </c>
      <c r="H84" s="158" t="s">
        <v>513</v>
      </c>
      <c r="I84" s="158" t="s">
        <v>514</v>
      </c>
      <c r="J84" s="158" t="s">
        <v>514</v>
      </c>
      <c r="K84" s="158" t="s">
        <v>235</v>
      </c>
      <c r="L84" s="158" t="s">
        <v>26</v>
      </c>
      <c r="M84" s="158" t="s">
        <v>236</v>
      </c>
      <c r="N84" s="158" t="s">
        <v>28</v>
      </c>
      <c r="O84" s="158" t="s">
        <v>39</v>
      </c>
      <c r="P84" s="158" t="s">
        <v>515</v>
      </c>
    </row>
    <row r="85" spans="1:16" x14ac:dyDescent="0.25">
      <c r="A85" s="155" t="s">
        <v>516</v>
      </c>
      <c r="B85" s="155" t="s">
        <v>468</v>
      </c>
      <c r="C85" s="155" t="s">
        <v>517</v>
      </c>
      <c r="D85" s="155" t="s">
        <v>516</v>
      </c>
      <c r="E85" s="155" t="s">
        <v>20</v>
      </c>
      <c r="F85" s="155" t="s">
        <v>21</v>
      </c>
      <c r="G85" s="158" t="s">
        <v>518</v>
      </c>
      <c r="H85" s="158" t="s">
        <v>519</v>
      </c>
      <c r="I85" s="158" t="s">
        <v>520</v>
      </c>
      <c r="J85" s="158" t="s">
        <v>520</v>
      </c>
      <c r="K85" s="158" t="s">
        <v>235</v>
      </c>
      <c r="L85" s="158" t="s">
        <v>26</v>
      </c>
      <c r="M85" s="158" t="s">
        <v>236</v>
      </c>
      <c r="N85" s="158" t="s">
        <v>28</v>
      </c>
      <c r="O85" s="158" t="s">
        <v>39</v>
      </c>
      <c r="P85" s="158" t="s">
        <v>521</v>
      </c>
    </row>
    <row r="86" spans="1:16" x14ac:dyDescent="0.25">
      <c r="A86" s="155" t="s">
        <v>522</v>
      </c>
      <c r="B86" s="155" t="s">
        <v>523</v>
      </c>
      <c r="C86" s="155" t="s">
        <v>524</v>
      </c>
      <c r="D86" s="155" t="s">
        <v>522</v>
      </c>
      <c r="E86" s="155" t="s">
        <v>525</v>
      </c>
      <c r="F86" s="155" t="s">
        <v>526</v>
      </c>
      <c r="G86" s="158" t="s">
        <v>527</v>
      </c>
      <c r="H86" s="158" t="s">
        <v>528</v>
      </c>
      <c r="I86" s="158" t="s">
        <v>529</v>
      </c>
      <c r="J86" s="158" t="s">
        <v>529</v>
      </c>
      <c r="K86" s="158" t="s">
        <v>25</v>
      </c>
      <c r="L86" s="158" t="s">
        <v>26</v>
      </c>
      <c r="M86" s="158" t="s">
        <v>27</v>
      </c>
      <c r="N86" s="158" t="s">
        <v>28</v>
      </c>
      <c r="O86" s="158" t="s">
        <v>29</v>
      </c>
      <c r="P86" s="158" t="s">
        <v>530</v>
      </c>
    </row>
    <row r="87" spans="1:16" x14ac:dyDescent="0.25">
      <c r="A87" s="155" t="s">
        <v>531</v>
      </c>
      <c r="B87" s="155" t="s">
        <v>523</v>
      </c>
      <c r="C87" s="155" t="s">
        <v>532</v>
      </c>
      <c r="D87" s="155" t="s">
        <v>531</v>
      </c>
      <c r="E87" s="155" t="s">
        <v>525</v>
      </c>
      <c r="F87" s="155" t="s">
        <v>526</v>
      </c>
      <c r="G87" s="158" t="s">
        <v>533</v>
      </c>
      <c r="H87" s="158" t="s">
        <v>534</v>
      </c>
      <c r="I87" s="158" t="s">
        <v>535</v>
      </c>
      <c r="J87" s="158" t="s">
        <v>535</v>
      </c>
      <c r="K87" s="158" t="s">
        <v>25</v>
      </c>
      <c r="L87" s="158" t="s">
        <v>26</v>
      </c>
      <c r="M87" s="158" t="s">
        <v>27</v>
      </c>
      <c r="N87" s="158" t="s">
        <v>28</v>
      </c>
      <c r="O87" s="158" t="s">
        <v>29</v>
      </c>
      <c r="P87" s="158" t="s">
        <v>536</v>
      </c>
    </row>
    <row r="88" spans="1:16" x14ac:dyDescent="0.25">
      <c r="A88" s="155" t="s">
        <v>537</v>
      </c>
      <c r="B88" s="155" t="s">
        <v>523</v>
      </c>
      <c r="C88" s="155" t="s">
        <v>538</v>
      </c>
      <c r="D88" s="155" t="s">
        <v>537</v>
      </c>
      <c r="E88" s="155" t="s">
        <v>525</v>
      </c>
      <c r="F88" s="155" t="s">
        <v>526</v>
      </c>
      <c r="G88" s="158" t="s">
        <v>539</v>
      </c>
      <c r="H88" s="158" t="s">
        <v>540</v>
      </c>
      <c r="I88" s="158" t="s">
        <v>541</v>
      </c>
      <c r="J88" s="158" t="s">
        <v>541</v>
      </c>
      <c r="K88" s="158" t="s">
        <v>25</v>
      </c>
      <c r="L88" s="158" t="s">
        <v>26</v>
      </c>
      <c r="M88" s="158" t="s">
        <v>27</v>
      </c>
      <c r="N88" s="158" t="s">
        <v>28</v>
      </c>
      <c r="O88" s="158" t="s">
        <v>29</v>
      </c>
      <c r="P88" s="158" t="s">
        <v>542</v>
      </c>
    </row>
    <row r="89" spans="1:16" x14ac:dyDescent="0.25">
      <c r="A89" s="155" t="s">
        <v>543</v>
      </c>
      <c r="B89" s="155" t="s">
        <v>523</v>
      </c>
      <c r="C89" s="155" t="s">
        <v>544</v>
      </c>
      <c r="D89" s="155" t="s">
        <v>543</v>
      </c>
      <c r="E89" s="155" t="s">
        <v>525</v>
      </c>
      <c r="F89" s="155" t="s">
        <v>526</v>
      </c>
      <c r="G89" s="158" t="s">
        <v>545</v>
      </c>
      <c r="H89" s="158" t="s">
        <v>546</v>
      </c>
      <c r="I89" s="158" t="s">
        <v>547</v>
      </c>
      <c r="J89" s="158" t="s">
        <v>547</v>
      </c>
      <c r="K89" s="158" t="s">
        <v>25</v>
      </c>
      <c r="L89" s="158" t="s">
        <v>26</v>
      </c>
      <c r="M89" s="158" t="s">
        <v>27</v>
      </c>
      <c r="N89" s="158" t="s">
        <v>28</v>
      </c>
      <c r="O89" s="158" t="s">
        <v>29</v>
      </c>
      <c r="P89" s="158" t="s">
        <v>548</v>
      </c>
    </row>
    <row r="90" spans="1:16" x14ac:dyDescent="0.25">
      <c r="A90" s="155" t="s">
        <v>549</v>
      </c>
      <c r="B90" s="155" t="s">
        <v>523</v>
      </c>
      <c r="C90" s="155" t="s">
        <v>550</v>
      </c>
      <c r="D90" s="155" t="s">
        <v>551</v>
      </c>
      <c r="E90" s="155" t="s">
        <v>525</v>
      </c>
      <c r="F90" s="155" t="s">
        <v>526</v>
      </c>
      <c r="G90" s="158" t="s">
        <v>552</v>
      </c>
      <c r="H90" s="158" t="s">
        <v>553</v>
      </c>
      <c r="I90" s="158" t="s">
        <v>554</v>
      </c>
      <c r="J90" s="158" t="s">
        <v>554</v>
      </c>
      <c r="K90" s="158" t="s">
        <v>71</v>
      </c>
      <c r="L90" s="158" t="s">
        <v>26</v>
      </c>
      <c r="M90" s="158" t="s">
        <v>72</v>
      </c>
      <c r="N90" s="158" t="s">
        <v>28</v>
      </c>
      <c r="O90" s="158" t="s">
        <v>29</v>
      </c>
      <c r="P90" s="158" t="s">
        <v>555</v>
      </c>
    </row>
    <row r="91" spans="1:16" x14ac:dyDescent="0.25">
      <c r="A91" s="155" t="s">
        <v>556</v>
      </c>
      <c r="B91" s="155" t="s">
        <v>523</v>
      </c>
      <c r="C91" s="155" t="s">
        <v>557</v>
      </c>
      <c r="D91" s="155" t="s">
        <v>558</v>
      </c>
      <c r="E91" s="155" t="s">
        <v>525</v>
      </c>
      <c r="F91" s="155" t="s">
        <v>559</v>
      </c>
      <c r="G91" s="158" t="s">
        <v>560</v>
      </c>
      <c r="H91" s="158" t="s">
        <v>561</v>
      </c>
      <c r="I91" s="158" t="s">
        <v>562</v>
      </c>
      <c r="J91" s="158" t="s">
        <v>562</v>
      </c>
      <c r="K91" s="158" t="s">
        <v>71</v>
      </c>
      <c r="L91" s="158" t="s">
        <v>26</v>
      </c>
      <c r="M91" s="158" t="s">
        <v>72</v>
      </c>
      <c r="N91" s="158" t="s">
        <v>28</v>
      </c>
      <c r="O91" s="158" t="s">
        <v>29</v>
      </c>
      <c r="P91" s="158" t="s">
        <v>563</v>
      </c>
    </row>
    <row r="92" spans="1:16" x14ac:dyDescent="0.25">
      <c r="A92" s="155" t="s">
        <v>564</v>
      </c>
      <c r="B92" s="155" t="s">
        <v>523</v>
      </c>
      <c r="C92" s="155" t="s">
        <v>565</v>
      </c>
      <c r="D92" s="155" t="s">
        <v>566</v>
      </c>
      <c r="E92" s="155" t="s">
        <v>525</v>
      </c>
      <c r="F92" s="155" t="s">
        <v>526</v>
      </c>
      <c r="G92" s="158" t="s">
        <v>567</v>
      </c>
      <c r="H92" s="158" t="s">
        <v>568</v>
      </c>
      <c r="I92" s="158" t="s">
        <v>569</v>
      </c>
      <c r="J92" s="158" t="s">
        <v>569</v>
      </c>
      <c r="K92" s="158" t="s">
        <v>37</v>
      </c>
      <c r="L92" s="158" t="s">
        <v>26</v>
      </c>
      <c r="M92" s="158" t="s">
        <v>38</v>
      </c>
      <c r="N92" s="158" t="s">
        <v>28</v>
      </c>
      <c r="O92" s="158" t="s">
        <v>39</v>
      </c>
      <c r="P92" s="158" t="s">
        <v>570</v>
      </c>
    </row>
    <row r="93" spans="1:16" x14ac:dyDescent="0.25">
      <c r="A93" s="155" t="s">
        <v>571</v>
      </c>
      <c r="B93" s="155" t="s">
        <v>523</v>
      </c>
      <c r="C93" s="155" t="s">
        <v>565</v>
      </c>
      <c r="D93" s="155" t="s">
        <v>566</v>
      </c>
      <c r="E93" s="155" t="s">
        <v>525</v>
      </c>
      <c r="F93" s="155" t="s">
        <v>526</v>
      </c>
      <c r="G93" s="158" t="s">
        <v>572</v>
      </c>
      <c r="H93" s="158" t="s">
        <v>573</v>
      </c>
      <c r="I93" s="158" t="s">
        <v>574</v>
      </c>
      <c r="J93" s="158" t="s">
        <v>574</v>
      </c>
      <c r="K93" s="158" t="s">
        <v>575</v>
      </c>
      <c r="L93" s="158" t="s">
        <v>26</v>
      </c>
      <c r="M93" s="158" t="s">
        <v>576</v>
      </c>
      <c r="N93" s="158" t="s">
        <v>28</v>
      </c>
      <c r="O93" s="158" t="s">
        <v>29</v>
      </c>
      <c r="P93" s="158" t="s">
        <v>577</v>
      </c>
    </row>
    <row r="94" spans="1:16" x14ac:dyDescent="0.25">
      <c r="A94" s="155" t="s">
        <v>578</v>
      </c>
      <c r="B94" s="155" t="s">
        <v>523</v>
      </c>
      <c r="C94" s="155" t="s">
        <v>557</v>
      </c>
      <c r="D94" s="155" t="s">
        <v>558</v>
      </c>
      <c r="E94" s="155" t="s">
        <v>525</v>
      </c>
      <c r="F94" s="155" t="s">
        <v>559</v>
      </c>
      <c r="G94" s="158" t="s">
        <v>579</v>
      </c>
      <c r="H94" s="158" t="s">
        <v>580</v>
      </c>
      <c r="I94" s="158" t="s">
        <v>581</v>
      </c>
      <c r="J94" s="158" t="s">
        <v>581</v>
      </c>
      <c r="K94" s="158" t="s">
        <v>575</v>
      </c>
      <c r="L94" s="158" t="s">
        <v>26</v>
      </c>
      <c r="M94" s="158" t="s">
        <v>576</v>
      </c>
      <c r="N94" s="158" t="s">
        <v>28</v>
      </c>
      <c r="O94" s="158" t="s">
        <v>29</v>
      </c>
      <c r="P94" s="158" t="s">
        <v>582</v>
      </c>
    </row>
    <row r="95" spans="1:16" x14ac:dyDescent="0.25">
      <c r="A95" s="155" t="s">
        <v>583</v>
      </c>
      <c r="B95" s="155" t="s">
        <v>523</v>
      </c>
      <c r="C95" s="155" t="s">
        <v>550</v>
      </c>
      <c r="D95" s="155" t="s">
        <v>551</v>
      </c>
      <c r="E95" s="155" t="s">
        <v>525</v>
      </c>
      <c r="F95" s="155" t="s">
        <v>526</v>
      </c>
      <c r="G95" s="158" t="s">
        <v>584</v>
      </c>
      <c r="H95" s="158" t="s">
        <v>585</v>
      </c>
      <c r="I95" s="158" t="s">
        <v>586</v>
      </c>
      <c r="J95" s="158" t="s">
        <v>586</v>
      </c>
      <c r="K95" s="158" t="s">
        <v>575</v>
      </c>
      <c r="L95" s="158" t="s">
        <v>26</v>
      </c>
      <c r="M95" s="158" t="s">
        <v>576</v>
      </c>
      <c r="N95" s="158" t="s">
        <v>28</v>
      </c>
      <c r="O95" s="158" t="s">
        <v>29</v>
      </c>
      <c r="P95" s="158" t="s">
        <v>582</v>
      </c>
    </row>
    <row r="96" spans="1:16" x14ac:dyDescent="0.25">
      <c r="A96" s="155" t="s">
        <v>587</v>
      </c>
      <c r="B96" s="155" t="s">
        <v>523</v>
      </c>
      <c r="C96" s="155" t="s">
        <v>565</v>
      </c>
      <c r="D96" s="155" t="s">
        <v>566</v>
      </c>
      <c r="E96" s="155" t="s">
        <v>525</v>
      </c>
      <c r="F96" s="155" t="s">
        <v>526</v>
      </c>
      <c r="G96" s="158" t="s">
        <v>588</v>
      </c>
      <c r="H96" s="158" t="s">
        <v>589</v>
      </c>
      <c r="I96" s="158" t="s">
        <v>590</v>
      </c>
      <c r="J96" s="158" t="s">
        <v>590</v>
      </c>
      <c r="K96" s="158" t="s">
        <v>71</v>
      </c>
      <c r="L96" s="158" t="s">
        <v>26</v>
      </c>
      <c r="M96" s="158" t="s">
        <v>72</v>
      </c>
      <c r="N96" s="158" t="s">
        <v>28</v>
      </c>
      <c r="O96" s="158" t="s">
        <v>29</v>
      </c>
      <c r="P96" s="158" t="s">
        <v>591</v>
      </c>
    </row>
    <row r="97" spans="1:16" x14ac:dyDescent="0.25">
      <c r="A97" s="155" t="s">
        <v>592</v>
      </c>
      <c r="B97" s="155" t="s">
        <v>523</v>
      </c>
      <c r="C97" s="155" t="s">
        <v>550</v>
      </c>
      <c r="D97" s="155" t="s">
        <v>551</v>
      </c>
      <c r="E97" s="155" t="s">
        <v>525</v>
      </c>
      <c r="F97" s="155" t="s">
        <v>526</v>
      </c>
      <c r="G97" s="158" t="s">
        <v>593</v>
      </c>
      <c r="H97" s="158" t="s">
        <v>594</v>
      </c>
      <c r="I97" s="158" t="s">
        <v>595</v>
      </c>
      <c r="J97" s="158" t="s">
        <v>595</v>
      </c>
      <c r="K97" s="158" t="s">
        <v>45</v>
      </c>
      <c r="L97" s="158" t="s">
        <v>26</v>
      </c>
      <c r="M97" s="158" t="s">
        <v>46</v>
      </c>
      <c r="N97" s="158" t="s">
        <v>28</v>
      </c>
      <c r="O97" s="158" t="s">
        <v>29</v>
      </c>
      <c r="P97" s="158" t="s">
        <v>596</v>
      </c>
    </row>
    <row r="98" spans="1:16" x14ac:dyDescent="0.25">
      <c r="A98" s="155" t="s">
        <v>597</v>
      </c>
      <c r="B98" s="155" t="s">
        <v>523</v>
      </c>
      <c r="C98" s="155" t="s">
        <v>557</v>
      </c>
      <c r="D98" s="155" t="s">
        <v>558</v>
      </c>
      <c r="E98" s="155" t="s">
        <v>525</v>
      </c>
      <c r="F98" s="155" t="s">
        <v>559</v>
      </c>
      <c r="G98" s="158" t="s">
        <v>598</v>
      </c>
      <c r="H98" s="158" t="s">
        <v>599</v>
      </c>
      <c r="I98" s="158" t="s">
        <v>600</v>
      </c>
      <c r="J98" s="158" t="s">
        <v>600</v>
      </c>
      <c r="K98" s="158" t="s">
        <v>71</v>
      </c>
      <c r="L98" s="158" t="s">
        <v>26</v>
      </c>
      <c r="M98" s="158" t="s">
        <v>72</v>
      </c>
      <c r="N98" s="158" t="s">
        <v>28</v>
      </c>
      <c r="O98" s="158" t="s">
        <v>29</v>
      </c>
      <c r="P98" s="158" t="s">
        <v>596</v>
      </c>
    </row>
    <row r="99" spans="1:16" x14ac:dyDescent="0.25">
      <c r="A99" s="155" t="s">
        <v>601</v>
      </c>
      <c r="B99" s="155" t="s">
        <v>523</v>
      </c>
      <c r="C99" s="155" t="s">
        <v>550</v>
      </c>
      <c r="D99" s="155" t="s">
        <v>551</v>
      </c>
      <c r="E99" s="155" t="s">
        <v>525</v>
      </c>
      <c r="F99" s="155" t="s">
        <v>526</v>
      </c>
      <c r="G99" s="158" t="s">
        <v>602</v>
      </c>
      <c r="H99" s="158" t="s">
        <v>603</v>
      </c>
      <c r="I99" s="158" t="s">
        <v>604</v>
      </c>
      <c r="J99" s="158" t="s">
        <v>604</v>
      </c>
      <c r="K99" s="158" t="s">
        <v>37</v>
      </c>
      <c r="L99" s="158" t="s">
        <v>26</v>
      </c>
      <c r="M99" s="158" t="s">
        <v>38</v>
      </c>
      <c r="N99" s="158" t="s">
        <v>28</v>
      </c>
      <c r="O99" s="158" t="s">
        <v>39</v>
      </c>
      <c r="P99" s="158" t="s">
        <v>605</v>
      </c>
    </row>
    <row r="100" spans="1:16" x14ac:dyDescent="0.25">
      <c r="A100" s="155" t="s">
        <v>606</v>
      </c>
      <c r="B100" s="155" t="s">
        <v>523</v>
      </c>
      <c r="C100" s="155" t="s">
        <v>550</v>
      </c>
      <c r="D100" s="155" t="s">
        <v>551</v>
      </c>
      <c r="E100" s="155" t="s">
        <v>525</v>
      </c>
      <c r="F100" s="155" t="s">
        <v>526</v>
      </c>
      <c r="G100" s="158" t="s">
        <v>607</v>
      </c>
      <c r="H100" s="158" t="s">
        <v>608</v>
      </c>
      <c r="I100" s="158" t="s">
        <v>609</v>
      </c>
      <c r="J100" s="158" t="s">
        <v>609</v>
      </c>
      <c r="K100" s="158" t="s">
        <v>37</v>
      </c>
      <c r="L100" s="158" t="s">
        <v>26</v>
      </c>
      <c r="M100" s="158" t="s">
        <v>38</v>
      </c>
      <c r="N100" s="158" t="s">
        <v>28</v>
      </c>
      <c r="O100" s="158" t="s">
        <v>39</v>
      </c>
      <c r="P100" s="158" t="s">
        <v>610</v>
      </c>
    </row>
    <row r="101" spans="1:16" x14ac:dyDescent="0.25">
      <c r="A101" s="155" t="s">
        <v>611</v>
      </c>
      <c r="B101" s="155" t="s">
        <v>523</v>
      </c>
      <c r="C101" s="155" t="s">
        <v>550</v>
      </c>
      <c r="D101" s="155" t="s">
        <v>551</v>
      </c>
      <c r="E101" s="155" t="s">
        <v>525</v>
      </c>
      <c r="F101" s="155" t="s">
        <v>526</v>
      </c>
      <c r="G101" s="158" t="s">
        <v>612</v>
      </c>
      <c r="H101" s="158" t="s">
        <v>613</v>
      </c>
      <c r="I101" s="158" t="s">
        <v>614</v>
      </c>
      <c r="J101" s="158" t="s">
        <v>614</v>
      </c>
      <c r="K101" s="158" t="s">
        <v>45</v>
      </c>
      <c r="L101" s="158" t="s">
        <v>26</v>
      </c>
      <c r="M101" s="158" t="s">
        <v>46</v>
      </c>
      <c r="N101" s="158" t="s">
        <v>28</v>
      </c>
      <c r="O101" s="158" t="s">
        <v>29</v>
      </c>
      <c r="P101" s="158" t="s">
        <v>615</v>
      </c>
    </row>
    <row r="102" spans="1:16" x14ac:dyDescent="0.25">
      <c r="A102" s="155" t="s">
        <v>616</v>
      </c>
      <c r="B102" s="155" t="s">
        <v>523</v>
      </c>
      <c r="C102" s="155" t="s">
        <v>550</v>
      </c>
      <c r="D102" s="155" t="s">
        <v>551</v>
      </c>
      <c r="E102" s="155" t="s">
        <v>525</v>
      </c>
      <c r="F102" s="155" t="s">
        <v>526</v>
      </c>
      <c r="G102" s="158" t="s">
        <v>617</v>
      </c>
      <c r="H102" s="158" t="s">
        <v>618</v>
      </c>
      <c r="I102" s="158" t="s">
        <v>619</v>
      </c>
      <c r="J102" s="158" t="s">
        <v>619</v>
      </c>
      <c r="K102" s="158" t="s">
        <v>156</v>
      </c>
      <c r="L102" s="158" t="s">
        <v>26</v>
      </c>
      <c r="M102" s="158" t="s">
        <v>157</v>
      </c>
      <c r="N102" s="158" t="s">
        <v>28</v>
      </c>
      <c r="O102" s="158" t="s">
        <v>29</v>
      </c>
      <c r="P102" s="158" t="s">
        <v>620</v>
      </c>
    </row>
    <row r="103" spans="1:16" x14ac:dyDescent="0.25">
      <c r="A103" s="155" t="s">
        <v>621</v>
      </c>
      <c r="B103" s="155" t="s">
        <v>523</v>
      </c>
      <c r="C103" s="155" t="s">
        <v>550</v>
      </c>
      <c r="D103" s="155" t="s">
        <v>551</v>
      </c>
      <c r="E103" s="155" t="s">
        <v>525</v>
      </c>
      <c r="F103" s="155" t="s">
        <v>526</v>
      </c>
      <c r="G103" s="158" t="s">
        <v>622</v>
      </c>
      <c r="H103" s="158" t="s">
        <v>623</v>
      </c>
      <c r="I103" s="158" t="s">
        <v>624</v>
      </c>
      <c r="J103" s="158" t="s">
        <v>624</v>
      </c>
      <c r="K103" s="158" t="s">
        <v>45</v>
      </c>
      <c r="L103" s="158" t="s">
        <v>26</v>
      </c>
      <c r="M103" s="158" t="s">
        <v>46</v>
      </c>
      <c r="N103" s="158" t="s">
        <v>28</v>
      </c>
      <c r="O103" s="158" t="s">
        <v>29</v>
      </c>
      <c r="P103" s="158" t="s">
        <v>625</v>
      </c>
    </row>
    <row r="104" spans="1:16" x14ac:dyDescent="0.25">
      <c r="A104" s="155" t="s">
        <v>626</v>
      </c>
      <c r="B104" s="155" t="s">
        <v>523</v>
      </c>
      <c r="C104" s="155" t="s">
        <v>550</v>
      </c>
      <c r="D104" s="155" t="s">
        <v>551</v>
      </c>
      <c r="E104" s="155" t="s">
        <v>525</v>
      </c>
      <c r="F104" s="155" t="s">
        <v>526</v>
      </c>
      <c r="G104" s="158" t="s">
        <v>627</v>
      </c>
      <c r="H104" s="158" t="s">
        <v>628</v>
      </c>
      <c r="I104" s="158" t="s">
        <v>629</v>
      </c>
      <c r="J104" s="158" t="s">
        <v>629</v>
      </c>
      <c r="K104" s="158" t="s">
        <v>71</v>
      </c>
      <c r="L104" s="158" t="s">
        <v>26</v>
      </c>
      <c r="M104" s="158" t="s">
        <v>72</v>
      </c>
      <c r="N104" s="158" t="s">
        <v>28</v>
      </c>
      <c r="O104" s="158" t="s">
        <v>29</v>
      </c>
      <c r="P104" s="158" t="s">
        <v>630</v>
      </c>
    </row>
    <row r="105" spans="1:16" x14ac:dyDescent="0.25">
      <c r="A105" s="155" t="s">
        <v>631</v>
      </c>
      <c r="B105" s="155" t="s">
        <v>523</v>
      </c>
      <c r="C105" s="155" t="s">
        <v>550</v>
      </c>
      <c r="D105" s="155" t="s">
        <v>551</v>
      </c>
      <c r="E105" s="155" t="s">
        <v>525</v>
      </c>
      <c r="F105" s="155" t="s">
        <v>526</v>
      </c>
      <c r="G105" s="158" t="s">
        <v>632</v>
      </c>
      <c r="H105" s="158" t="s">
        <v>633</v>
      </c>
      <c r="I105" s="158" t="s">
        <v>634</v>
      </c>
      <c r="J105" s="158" t="s">
        <v>634</v>
      </c>
      <c r="K105" s="158" t="s">
        <v>71</v>
      </c>
      <c r="L105" s="158" t="s">
        <v>26</v>
      </c>
      <c r="M105" s="158" t="s">
        <v>72</v>
      </c>
      <c r="N105" s="158" t="s">
        <v>28</v>
      </c>
      <c r="O105" s="158" t="s">
        <v>29</v>
      </c>
      <c r="P105" s="158" t="s">
        <v>635</v>
      </c>
    </row>
    <row r="106" spans="1:16" x14ac:dyDescent="0.25">
      <c r="A106" s="155" t="s">
        <v>636</v>
      </c>
      <c r="B106" s="155" t="s">
        <v>523</v>
      </c>
      <c r="C106" s="155" t="s">
        <v>550</v>
      </c>
      <c r="D106" s="155" t="s">
        <v>551</v>
      </c>
      <c r="E106" s="155" t="s">
        <v>525</v>
      </c>
      <c r="F106" s="155" t="s">
        <v>526</v>
      </c>
      <c r="G106" s="158" t="s">
        <v>637</v>
      </c>
      <c r="H106" s="158" t="s">
        <v>638</v>
      </c>
      <c r="I106" s="158" t="s">
        <v>639</v>
      </c>
      <c r="J106" s="158" t="s">
        <v>639</v>
      </c>
      <c r="K106" s="158" t="s">
        <v>71</v>
      </c>
      <c r="L106" s="158" t="s">
        <v>26</v>
      </c>
      <c r="M106" s="158" t="s">
        <v>72</v>
      </c>
      <c r="N106" s="158" t="s">
        <v>28</v>
      </c>
      <c r="O106" s="158" t="s">
        <v>29</v>
      </c>
      <c r="P106" s="158" t="s">
        <v>640</v>
      </c>
    </row>
    <row r="107" spans="1:16" x14ac:dyDescent="0.25">
      <c r="A107" s="155" t="s">
        <v>551</v>
      </c>
      <c r="B107" s="155" t="s">
        <v>523</v>
      </c>
      <c r="C107" s="155" t="s">
        <v>550</v>
      </c>
      <c r="D107" s="155" t="s">
        <v>551</v>
      </c>
      <c r="E107" s="155" t="s">
        <v>525</v>
      </c>
      <c r="F107" s="155" t="s">
        <v>526</v>
      </c>
      <c r="G107" s="158" t="s">
        <v>641</v>
      </c>
      <c r="H107" s="158" t="s">
        <v>642</v>
      </c>
      <c r="I107" s="158" t="s">
        <v>643</v>
      </c>
      <c r="J107" s="158" t="s">
        <v>643</v>
      </c>
      <c r="K107" s="158" t="s">
        <v>71</v>
      </c>
      <c r="L107" s="158" t="s">
        <v>26</v>
      </c>
      <c r="M107" s="158" t="s">
        <v>72</v>
      </c>
      <c r="N107" s="158" t="s">
        <v>28</v>
      </c>
      <c r="O107" s="158" t="s">
        <v>29</v>
      </c>
      <c r="P107" s="158" t="s">
        <v>644</v>
      </c>
    </row>
    <row r="108" spans="1:16" x14ac:dyDescent="0.25">
      <c r="A108" s="155" t="s">
        <v>645</v>
      </c>
      <c r="B108" s="155" t="s">
        <v>523</v>
      </c>
      <c r="C108" s="155" t="s">
        <v>550</v>
      </c>
      <c r="D108" s="155" t="s">
        <v>551</v>
      </c>
      <c r="E108" s="155" t="s">
        <v>525</v>
      </c>
      <c r="F108" s="155" t="s">
        <v>526</v>
      </c>
      <c r="G108" s="158" t="s">
        <v>646</v>
      </c>
      <c r="H108" s="158" t="s">
        <v>647</v>
      </c>
      <c r="I108" s="158" t="s">
        <v>648</v>
      </c>
      <c r="J108" s="158" t="s">
        <v>648</v>
      </c>
      <c r="K108" s="158" t="s">
        <v>71</v>
      </c>
      <c r="L108" s="158" t="s">
        <v>26</v>
      </c>
      <c r="M108" s="158" t="s">
        <v>72</v>
      </c>
      <c r="N108" s="158" t="s">
        <v>28</v>
      </c>
      <c r="O108" s="158" t="s">
        <v>29</v>
      </c>
      <c r="P108" s="158" t="s">
        <v>649</v>
      </c>
    </row>
    <row r="109" spans="1:16" x14ac:dyDescent="0.25">
      <c r="A109" s="155" t="s">
        <v>650</v>
      </c>
      <c r="B109" s="155" t="s">
        <v>523</v>
      </c>
      <c r="C109" s="155" t="s">
        <v>557</v>
      </c>
      <c r="D109" s="155" t="s">
        <v>558</v>
      </c>
      <c r="E109" s="155" t="s">
        <v>525</v>
      </c>
      <c r="F109" s="155" t="s">
        <v>526</v>
      </c>
      <c r="G109" s="158" t="s">
        <v>651</v>
      </c>
      <c r="H109" s="158" t="s">
        <v>652</v>
      </c>
      <c r="I109" s="158" t="s">
        <v>653</v>
      </c>
      <c r="J109" s="158" t="s">
        <v>653</v>
      </c>
      <c r="K109" s="158" t="s">
        <v>59</v>
      </c>
      <c r="L109" s="158" t="s">
        <v>26</v>
      </c>
      <c r="M109" s="158" t="s">
        <v>60</v>
      </c>
      <c r="N109" s="158" t="s">
        <v>28</v>
      </c>
      <c r="O109" s="158" t="s">
        <v>29</v>
      </c>
      <c r="P109" s="158" t="s">
        <v>654</v>
      </c>
    </row>
    <row r="110" spans="1:16" x14ac:dyDescent="0.25">
      <c r="A110" s="155" t="s">
        <v>655</v>
      </c>
      <c r="B110" s="155" t="s">
        <v>523</v>
      </c>
      <c r="C110" s="155" t="s">
        <v>557</v>
      </c>
      <c r="D110" s="155" t="s">
        <v>558</v>
      </c>
      <c r="E110" s="155" t="s">
        <v>525</v>
      </c>
      <c r="F110" s="155" t="s">
        <v>526</v>
      </c>
      <c r="G110" s="158" t="s">
        <v>656</v>
      </c>
      <c r="H110" s="158" t="s">
        <v>657</v>
      </c>
      <c r="I110" s="158" t="s">
        <v>658</v>
      </c>
      <c r="J110" s="158" t="s">
        <v>658</v>
      </c>
      <c r="K110" s="158" t="s">
        <v>71</v>
      </c>
      <c r="L110" s="158" t="s">
        <v>26</v>
      </c>
      <c r="M110" s="158" t="s">
        <v>72</v>
      </c>
      <c r="N110" s="158" t="s">
        <v>28</v>
      </c>
      <c r="O110" s="158" t="s">
        <v>29</v>
      </c>
      <c r="P110" s="158" t="s">
        <v>659</v>
      </c>
    </row>
    <row r="111" spans="1:16" x14ac:dyDescent="0.25">
      <c r="A111" s="155" t="s">
        <v>660</v>
      </c>
      <c r="B111" s="155" t="s">
        <v>523</v>
      </c>
      <c r="C111" s="155" t="s">
        <v>557</v>
      </c>
      <c r="D111" s="155" t="s">
        <v>558</v>
      </c>
      <c r="E111" s="155" t="s">
        <v>525</v>
      </c>
      <c r="F111" s="155" t="s">
        <v>526</v>
      </c>
      <c r="G111" s="158" t="s">
        <v>661</v>
      </c>
      <c r="H111" s="158" t="s">
        <v>662</v>
      </c>
      <c r="I111" s="158" t="s">
        <v>663</v>
      </c>
      <c r="J111" s="158" t="s">
        <v>663</v>
      </c>
      <c r="K111" s="158" t="s">
        <v>71</v>
      </c>
      <c r="L111" s="158" t="s">
        <v>26</v>
      </c>
      <c r="M111" s="158" t="s">
        <v>72</v>
      </c>
      <c r="N111" s="158" t="s">
        <v>28</v>
      </c>
      <c r="O111" s="158" t="s">
        <v>29</v>
      </c>
      <c r="P111" s="158" t="s">
        <v>664</v>
      </c>
    </row>
    <row r="112" spans="1:16" x14ac:dyDescent="0.25">
      <c r="A112" s="155" t="s">
        <v>558</v>
      </c>
      <c r="B112" s="155" t="s">
        <v>523</v>
      </c>
      <c r="C112" s="155" t="s">
        <v>557</v>
      </c>
      <c r="D112" s="155" t="s">
        <v>558</v>
      </c>
      <c r="E112" s="155" t="s">
        <v>525</v>
      </c>
      <c r="F112" s="155" t="s">
        <v>526</v>
      </c>
      <c r="G112" s="158" t="s">
        <v>665</v>
      </c>
      <c r="H112" s="158" t="s">
        <v>666</v>
      </c>
      <c r="I112" s="158" t="s">
        <v>667</v>
      </c>
      <c r="J112" s="158" t="s">
        <v>667</v>
      </c>
      <c r="K112" s="158" t="s">
        <v>71</v>
      </c>
      <c r="L112" s="158" t="s">
        <v>26</v>
      </c>
      <c r="M112" s="158" t="s">
        <v>72</v>
      </c>
      <c r="N112" s="158" t="s">
        <v>28</v>
      </c>
      <c r="O112" s="158" t="s">
        <v>29</v>
      </c>
      <c r="P112" s="158" t="s">
        <v>668</v>
      </c>
    </row>
    <row r="113" spans="1:16" x14ac:dyDescent="0.25">
      <c r="A113" s="155" t="s">
        <v>669</v>
      </c>
      <c r="B113" s="155" t="s">
        <v>523</v>
      </c>
      <c r="C113" s="155" t="s">
        <v>557</v>
      </c>
      <c r="D113" s="155" t="s">
        <v>558</v>
      </c>
      <c r="E113" s="155" t="s">
        <v>525</v>
      </c>
      <c r="F113" s="155" t="s">
        <v>526</v>
      </c>
      <c r="G113" s="158" t="s">
        <v>670</v>
      </c>
      <c r="H113" s="158" t="s">
        <v>671</v>
      </c>
      <c r="I113" s="158" t="s">
        <v>672</v>
      </c>
      <c r="J113" s="158" t="s">
        <v>672</v>
      </c>
      <c r="K113" s="158" t="s">
        <v>59</v>
      </c>
      <c r="L113" s="158" t="s">
        <v>26</v>
      </c>
      <c r="M113" s="158" t="s">
        <v>60</v>
      </c>
      <c r="N113" s="158" t="s">
        <v>28</v>
      </c>
      <c r="O113" s="158" t="s">
        <v>29</v>
      </c>
      <c r="P113" s="158" t="s">
        <v>673</v>
      </c>
    </row>
    <row r="114" spans="1:16" x14ac:dyDescent="0.25">
      <c r="A114" s="155" t="s">
        <v>674</v>
      </c>
      <c r="B114" s="155" t="s">
        <v>523</v>
      </c>
      <c r="C114" s="155" t="s">
        <v>557</v>
      </c>
      <c r="D114" s="155" t="s">
        <v>558</v>
      </c>
      <c r="E114" s="155" t="s">
        <v>525</v>
      </c>
      <c r="F114" s="155" t="s">
        <v>526</v>
      </c>
      <c r="G114" s="158" t="s">
        <v>675</v>
      </c>
      <c r="H114" s="158" t="s">
        <v>676</v>
      </c>
      <c r="I114" s="158" t="s">
        <v>677</v>
      </c>
      <c r="J114" s="158" t="s">
        <v>677</v>
      </c>
      <c r="K114" s="158" t="s">
        <v>45</v>
      </c>
      <c r="L114" s="158" t="s">
        <v>26</v>
      </c>
      <c r="M114" s="158" t="s">
        <v>46</v>
      </c>
      <c r="N114" s="158" t="s">
        <v>28</v>
      </c>
      <c r="O114" s="158" t="s">
        <v>29</v>
      </c>
      <c r="P114" s="158" t="s">
        <v>678</v>
      </c>
    </row>
    <row r="115" spans="1:16" x14ac:dyDescent="0.25">
      <c r="A115" s="155" t="s">
        <v>679</v>
      </c>
      <c r="B115" s="155" t="s">
        <v>523</v>
      </c>
      <c r="C115" s="155" t="s">
        <v>557</v>
      </c>
      <c r="D115" s="155" t="s">
        <v>558</v>
      </c>
      <c r="E115" s="155" t="s">
        <v>525</v>
      </c>
      <c r="F115" s="155" t="s">
        <v>526</v>
      </c>
      <c r="G115" s="158" t="s">
        <v>680</v>
      </c>
      <c r="H115" s="158" t="s">
        <v>681</v>
      </c>
      <c r="I115" s="158" t="s">
        <v>682</v>
      </c>
      <c r="J115" s="158" t="s">
        <v>682</v>
      </c>
      <c r="K115" s="158" t="s">
        <v>71</v>
      </c>
      <c r="L115" s="158" t="s">
        <v>26</v>
      </c>
      <c r="M115" s="158" t="s">
        <v>72</v>
      </c>
      <c r="N115" s="158" t="s">
        <v>28</v>
      </c>
      <c r="O115" s="158" t="s">
        <v>29</v>
      </c>
      <c r="P115" s="158" t="s">
        <v>683</v>
      </c>
    </row>
    <row r="116" spans="1:16" x14ac:dyDescent="0.25">
      <c r="A116" s="155" t="s">
        <v>684</v>
      </c>
      <c r="B116" s="155" t="s">
        <v>523</v>
      </c>
      <c r="C116" s="155" t="s">
        <v>557</v>
      </c>
      <c r="D116" s="155" t="s">
        <v>558</v>
      </c>
      <c r="E116" s="155" t="s">
        <v>525</v>
      </c>
      <c r="F116" s="155" t="s">
        <v>526</v>
      </c>
      <c r="G116" s="158" t="s">
        <v>685</v>
      </c>
      <c r="H116" s="158" t="s">
        <v>686</v>
      </c>
      <c r="I116" s="158" t="s">
        <v>687</v>
      </c>
      <c r="J116" s="158" t="s">
        <v>687</v>
      </c>
      <c r="K116" s="158" t="s">
        <v>71</v>
      </c>
      <c r="L116" s="158" t="s">
        <v>26</v>
      </c>
      <c r="M116" s="158" t="s">
        <v>72</v>
      </c>
      <c r="N116" s="158" t="s">
        <v>28</v>
      </c>
      <c r="O116" s="158" t="s">
        <v>29</v>
      </c>
      <c r="P116" s="158" t="s">
        <v>688</v>
      </c>
    </row>
    <row r="117" spans="1:16" x14ac:dyDescent="0.25">
      <c r="A117" s="155" t="s">
        <v>689</v>
      </c>
      <c r="B117" s="155" t="s">
        <v>523</v>
      </c>
      <c r="C117" s="155" t="s">
        <v>557</v>
      </c>
      <c r="D117" s="155" t="s">
        <v>558</v>
      </c>
      <c r="E117" s="155" t="s">
        <v>525</v>
      </c>
      <c r="F117" s="155" t="s">
        <v>526</v>
      </c>
      <c r="G117" s="158" t="s">
        <v>690</v>
      </c>
      <c r="H117" s="158" t="s">
        <v>691</v>
      </c>
      <c r="I117" s="158" t="s">
        <v>692</v>
      </c>
      <c r="J117" s="158" t="s">
        <v>692</v>
      </c>
      <c r="K117" s="158" t="s">
        <v>71</v>
      </c>
      <c r="L117" s="158" t="s">
        <v>26</v>
      </c>
      <c r="M117" s="158" t="s">
        <v>72</v>
      </c>
      <c r="N117" s="158" t="s">
        <v>28</v>
      </c>
      <c r="O117" s="158" t="s">
        <v>29</v>
      </c>
      <c r="P117" s="158" t="s">
        <v>693</v>
      </c>
    </row>
    <row r="118" spans="1:16" x14ac:dyDescent="0.25">
      <c r="A118" s="155" t="s">
        <v>694</v>
      </c>
      <c r="B118" s="155" t="s">
        <v>523</v>
      </c>
      <c r="C118" s="155" t="s">
        <v>557</v>
      </c>
      <c r="D118" s="155" t="s">
        <v>558</v>
      </c>
      <c r="E118" s="155" t="s">
        <v>525</v>
      </c>
      <c r="F118" s="155" t="s">
        <v>526</v>
      </c>
      <c r="G118" s="158" t="s">
        <v>695</v>
      </c>
      <c r="H118" s="158" t="s">
        <v>696</v>
      </c>
      <c r="I118" s="158" t="s">
        <v>697</v>
      </c>
      <c r="J118" s="158" t="s">
        <v>697</v>
      </c>
      <c r="K118" s="158" t="s">
        <v>71</v>
      </c>
      <c r="L118" s="158" t="s">
        <v>26</v>
      </c>
      <c r="M118" s="158" t="s">
        <v>72</v>
      </c>
      <c r="N118" s="158" t="s">
        <v>28</v>
      </c>
      <c r="O118" s="158" t="s">
        <v>29</v>
      </c>
      <c r="P118" s="158" t="s">
        <v>698</v>
      </c>
    </row>
    <row r="119" spans="1:16" x14ac:dyDescent="0.25">
      <c r="A119" s="155" t="s">
        <v>699</v>
      </c>
      <c r="B119" s="155" t="s">
        <v>523</v>
      </c>
      <c r="C119" s="155" t="s">
        <v>557</v>
      </c>
      <c r="D119" s="155" t="s">
        <v>558</v>
      </c>
      <c r="E119" s="155" t="s">
        <v>525</v>
      </c>
      <c r="F119" s="155" t="s">
        <v>526</v>
      </c>
      <c r="G119" s="158" t="s">
        <v>700</v>
      </c>
      <c r="H119" s="158" t="s">
        <v>701</v>
      </c>
      <c r="I119" s="158" t="s">
        <v>702</v>
      </c>
      <c r="J119" s="158" t="s">
        <v>702</v>
      </c>
      <c r="K119" s="158" t="s">
        <v>59</v>
      </c>
      <c r="L119" s="158" t="s">
        <v>26</v>
      </c>
      <c r="M119" s="158" t="s">
        <v>60</v>
      </c>
      <c r="N119" s="158" t="s">
        <v>28</v>
      </c>
      <c r="O119" s="158" t="s">
        <v>29</v>
      </c>
      <c r="P119" s="158" t="s">
        <v>703</v>
      </c>
    </row>
    <row r="120" spans="1:16" x14ac:dyDescent="0.25">
      <c r="A120" s="155" t="s">
        <v>704</v>
      </c>
      <c r="B120" s="155" t="s">
        <v>523</v>
      </c>
      <c r="C120" s="155" t="s">
        <v>565</v>
      </c>
      <c r="D120" s="155" t="s">
        <v>566</v>
      </c>
      <c r="E120" s="155" t="s">
        <v>525</v>
      </c>
      <c r="F120" s="155" t="s">
        <v>526</v>
      </c>
      <c r="G120" s="158" t="s">
        <v>705</v>
      </c>
      <c r="H120" s="158" t="s">
        <v>706</v>
      </c>
      <c r="I120" s="158" t="s">
        <v>707</v>
      </c>
      <c r="J120" s="158" t="s">
        <v>707</v>
      </c>
      <c r="K120" s="158" t="s">
        <v>45</v>
      </c>
      <c r="L120" s="158" t="s">
        <v>26</v>
      </c>
      <c r="M120" s="158" t="s">
        <v>46</v>
      </c>
      <c r="N120" s="158" t="s">
        <v>28</v>
      </c>
      <c r="O120" s="158" t="s">
        <v>29</v>
      </c>
      <c r="P120" s="158" t="s">
        <v>708</v>
      </c>
    </row>
    <row r="121" spans="1:16" x14ac:dyDescent="0.25">
      <c r="A121" s="155" t="s">
        <v>709</v>
      </c>
      <c r="B121" s="155" t="s">
        <v>523</v>
      </c>
      <c r="C121" s="155" t="s">
        <v>565</v>
      </c>
      <c r="D121" s="155" t="s">
        <v>566</v>
      </c>
      <c r="E121" s="155" t="s">
        <v>525</v>
      </c>
      <c r="F121" s="155" t="s">
        <v>526</v>
      </c>
      <c r="G121" s="158" t="s">
        <v>710</v>
      </c>
      <c r="H121" s="158" t="s">
        <v>711</v>
      </c>
      <c r="I121" s="158" t="s">
        <v>712</v>
      </c>
      <c r="J121" s="158" t="s">
        <v>712</v>
      </c>
      <c r="K121" s="158" t="s">
        <v>37</v>
      </c>
      <c r="L121" s="158" t="s">
        <v>26</v>
      </c>
      <c r="M121" s="158" t="s">
        <v>38</v>
      </c>
      <c r="N121" s="158" t="s">
        <v>28</v>
      </c>
      <c r="O121" s="158" t="s">
        <v>39</v>
      </c>
      <c r="P121" s="158" t="s">
        <v>713</v>
      </c>
    </row>
    <row r="122" spans="1:16" x14ac:dyDescent="0.25">
      <c r="A122" s="155" t="s">
        <v>714</v>
      </c>
      <c r="B122" s="155" t="s">
        <v>523</v>
      </c>
      <c r="C122" s="155" t="s">
        <v>565</v>
      </c>
      <c r="D122" s="155" t="s">
        <v>566</v>
      </c>
      <c r="E122" s="155" t="s">
        <v>525</v>
      </c>
      <c r="F122" s="155" t="s">
        <v>526</v>
      </c>
      <c r="G122" s="158" t="s">
        <v>715</v>
      </c>
      <c r="H122" s="158" t="s">
        <v>716</v>
      </c>
      <c r="I122" s="158" t="s">
        <v>717</v>
      </c>
      <c r="J122" s="158" t="s">
        <v>717</v>
      </c>
      <c r="K122" s="158" t="s">
        <v>156</v>
      </c>
      <c r="L122" s="158" t="s">
        <v>26</v>
      </c>
      <c r="M122" s="158" t="s">
        <v>157</v>
      </c>
      <c r="N122" s="158" t="s">
        <v>28</v>
      </c>
      <c r="O122" s="158" t="s">
        <v>29</v>
      </c>
      <c r="P122" s="158" t="s">
        <v>718</v>
      </c>
    </row>
    <row r="123" spans="1:16" x14ac:dyDescent="0.25">
      <c r="A123" s="155" t="s">
        <v>566</v>
      </c>
      <c r="B123" s="155" t="s">
        <v>523</v>
      </c>
      <c r="C123" s="155" t="s">
        <v>565</v>
      </c>
      <c r="D123" s="155" t="s">
        <v>566</v>
      </c>
      <c r="E123" s="155" t="s">
        <v>525</v>
      </c>
      <c r="F123" s="155" t="s">
        <v>526</v>
      </c>
      <c r="G123" s="158" t="s">
        <v>719</v>
      </c>
      <c r="H123" s="158" t="s">
        <v>720</v>
      </c>
      <c r="I123" s="158" t="s">
        <v>721</v>
      </c>
      <c r="J123" s="158" t="s">
        <v>721</v>
      </c>
      <c r="K123" s="158" t="s">
        <v>71</v>
      </c>
      <c r="L123" s="158" t="s">
        <v>26</v>
      </c>
      <c r="M123" s="158" t="s">
        <v>72</v>
      </c>
      <c r="N123" s="158" t="s">
        <v>28</v>
      </c>
      <c r="O123" s="158" t="s">
        <v>29</v>
      </c>
      <c r="P123" s="158" t="s">
        <v>722</v>
      </c>
    </row>
    <row r="124" spans="1:16" x14ac:dyDescent="0.25">
      <c r="A124" s="155" t="s">
        <v>723</v>
      </c>
      <c r="B124" s="155" t="s">
        <v>523</v>
      </c>
      <c r="C124" s="155" t="s">
        <v>565</v>
      </c>
      <c r="D124" s="155" t="s">
        <v>566</v>
      </c>
      <c r="E124" s="155" t="s">
        <v>525</v>
      </c>
      <c r="F124" s="155" t="s">
        <v>526</v>
      </c>
      <c r="G124" s="158" t="s">
        <v>724</v>
      </c>
      <c r="H124" s="158" t="s">
        <v>725</v>
      </c>
      <c r="I124" s="158" t="s">
        <v>726</v>
      </c>
      <c r="J124" s="158" t="s">
        <v>726</v>
      </c>
      <c r="K124" s="158" t="s">
        <v>71</v>
      </c>
      <c r="L124" s="158" t="s">
        <v>26</v>
      </c>
      <c r="M124" s="158" t="s">
        <v>72</v>
      </c>
      <c r="N124" s="158" t="s">
        <v>28</v>
      </c>
      <c r="O124" s="158" t="s">
        <v>29</v>
      </c>
      <c r="P124" s="158" t="s">
        <v>727</v>
      </c>
    </row>
    <row r="125" spans="1:16" x14ac:dyDescent="0.25">
      <c r="A125" s="155" t="s">
        <v>728</v>
      </c>
      <c r="B125" s="155" t="s">
        <v>523</v>
      </c>
      <c r="C125" s="155" t="s">
        <v>565</v>
      </c>
      <c r="D125" s="155" t="s">
        <v>566</v>
      </c>
      <c r="E125" s="155" t="s">
        <v>525</v>
      </c>
      <c r="F125" s="155" t="s">
        <v>526</v>
      </c>
      <c r="G125" s="158" t="s">
        <v>729</v>
      </c>
      <c r="H125" s="158" t="s">
        <v>730</v>
      </c>
      <c r="I125" s="158" t="s">
        <v>731</v>
      </c>
      <c r="J125" s="158" t="s">
        <v>731</v>
      </c>
      <c r="K125" s="158" t="s">
        <v>71</v>
      </c>
      <c r="L125" s="158" t="s">
        <v>26</v>
      </c>
      <c r="M125" s="158" t="s">
        <v>72</v>
      </c>
      <c r="N125" s="158" t="s">
        <v>28</v>
      </c>
      <c r="O125" s="158" t="s">
        <v>29</v>
      </c>
      <c r="P125" s="158" t="s">
        <v>732</v>
      </c>
    </row>
    <row r="126" spans="1:16" x14ac:dyDescent="0.25">
      <c r="A126" s="155" t="s">
        <v>733</v>
      </c>
      <c r="B126" s="155" t="s">
        <v>523</v>
      </c>
      <c r="C126" s="155" t="s">
        <v>565</v>
      </c>
      <c r="D126" s="155" t="s">
        <v>566</v>
      </c>
      <c r="E126" s="155" t="s">
        <v>525</v>
      </c>
      <c r="F126" s="155" t="s">
        <v>526</v>
      </c>
      <c r="G126" s="158" t="s">
        <v>734</v>
      </c>
      <c r="H126" s="158" t="s">
        <v>735</v>
      </c>
      <c r="I126" s="158" t="s">
        <v>736</v>
      </c>
      <c r="J126" s="158" t="s">
        <v>736</v>
      </c>
      <c r="K126" s="158" t="s">
        <v>71</v>
      </c>
      <c r="L126" s="158" t="s">
        <v>26</v>
      </c>
      <c r="M126" s="158" t="s">
        <v>72</v>
      </c>
      <c r="N126" s="158" t="s">
        <v>28</v>
      </c>
      <c r="O126" s="158" t="s">
        <v>29</v>
      </c>
      <c r="P126" s="158" t="s">
        <v>737</v>
      </c>
    </row>
    <row r="127" spans="1:16" x14ac:dyDescent="0.25">
      <c r="A127" s="155" t="s">
        <v>738</v>
      </c>
      <c r="B127" s="155" t="s">
        <v>523</v>
      </c>
      <c r="C127" s="155" t="s">
        <v>565</v>
      </c>
      <c r="D127" s="155" t="s">
        <v>566</v>
      </c>
      <c r="E127" s="155" t="s">
        <v>525</v>
      </c>
      <c r="F127" s="155" t="s">
        <v>526</v>
      </c>
      <c r="G127" s="158" t="s">
        <v>739</v>
      </c>
      <c r="H127" s="158" t="s">
        <v>740</v>
      </c>
      <c r="I127" s="158" t="s">
        <v>741</v>
      </c>
      <c r="J127" s="158" t="s">
        <v>741</v>
      </c>
      <c r="K127" s="158" t="s">
        <v>71</v>
      </c>
      <c r="L127" s="158" t="s">
        <v>26</v>
      </c>
      <c r="M127" s="158" t="s">
        <v>72</v>
      </c>
      <c r="N127" s="158" t="s">
        <v>28</v>
      </c>
      <c r="O127" s="158" t="s">
        <v>29</v>
      </c>
      <c r="P127" s="158" t="s">
        <v>742</v>
      </c>
    </row>
    <row r="128" spans="1:16" x14ac:dyDescent="0.25">
      <c r="A128" s="155" t="s">
        <v>743</v>
      </c>
      <c r="B128" s="155" t="s">
        <v>523</v>
      </c>
      <c r="C128" s="155" t="s">
        <v>565</v>
      </c>
      <c r="D128" s="155" t="s">
        <v>566</v>
      </c>
      <c r="E128" s="155" t="s">
        <v>525</v>
      </c>
      <c r="F128" s="155" t="s">
        <v>526</v>
      </c>
      <c r="G128" s="158" t="s">
        <v>744</v>
      </c>
      <c r="H128" s="158" t="s">
        <v>745</v>
      </c>
      <c r="I128" s="158" t="s">
        <v>746</v>
      </c>
      <c r="J128" s="158" t="s">
        <v>746</v>
      </c>
      <c r="K128" s="158" t="s">
        <v>71</v>
      </c>
      <c r="L128" s="158" t="s">
        <v>26</v>
      </c>
      <c r="M128" s="158" t="s">
        <v>72</v>
      </c>
      <c r="N128" s="158" t="s">
        <v>28</v>
      </c>
      <c r="O128" s="158" t="s">
        <v>29</v>
      </c>
      <c r="P128" s="158" t="s">
        <v>747</v>
      </c>
    </row>
    <row r="129" spans="1:16" x14ac:dyDescent="0.25">
      <c r="A129" s="155" t="s">
        <v>748</v>
      </c>
      <c r="B129" s="155" t="s">
        <v>523</v>
      </c>
      <c r="C129" s="155" t="s">
        <v>749</v>
      </c>
      <c r="D129" s="155" t="s">
        <v>748</v>
      </c>
      <c r="E129" s="155" t="s">
        <v>525</v>
      </c>
      <c r="F129" s="155" t="s">
        <v>526</v>
      </c>
      <c r="G129" s="158" t="s">
        <v>750</v>
      </c>
      <c r="H129" s="158" t="s">
        <v>751</v>
      </c>
      <c r="I129" s="158" t="s">
        <v>752</v>
      </c>
      <c r="J129" s="158" t="s">
        <v>752</v>
      </c>
      <c r="K129" s="158" t="s">
        <v>71</v>
      </c>
      <c r="L129" s="158" t="s">
        <v>26</v>
      </c>
      <c r="M129" s="158" t="s">
        <v>72</v>
      </c>
      <c r="N129" s="158" t="s">
        <v>28</v>
      </c>
      <c r="O129" s="158" t="s">
        <v>29</v>
      </c>
      <c r="P129" s="158" t="s">
        <v>753</v>
      </c>
    </row>
    <row r="130" spans="1:16" x14ac:dyDescent="0.25">
      <c r="A130" s="155" t="s">
        <v>754</v>
      </c>
      <c r="B130" s="155" t="s">
        <v>523</v>
      </c>
      <c r="C130" s="155" t="s">
        <v>749</v>
      </c>
      <c r="D130" s="155" t="s">
        <v>748</v>
      </c>
      <c r="E130" s="155" t="s">
        <v>525</v>
      </c>
      <c r="F130" s="155" t="s">
        <v>526</v>
      </c>
      <c r="G130" s="158" t="s">
        <v>755</v>
      </c>
      <c r="H130" s="158" t="s">
        <v>756</v>
      </c>
      <c r="I130" s="158" t="s">
        <v>757</v>
      </c>
      <c r="J130" s="158" t="s">
        <v>757</v>
      </c>
      <c r="K130" s="158" t="s">
        <v>156</v>
      </c>
      <c r="L130" s="158" t="s">
        <v>26</v>
      </c>
      <c r="M130" s="158" t="s">
        <v>157</v>
      </c>
      <c r="N130" s="158" t="s">
        <v>28</v>
      </c>
      <c r="O130" s="158" t="s">
        <v>29</v>
      </c>
      <c r="P130" s="158" t="s">
        <v>758</v>
      </c>
    </row>
    <row r="131" spans="1:16" x14ac:dyDescent="0.25">
      <c r="A131" s="155" t="s">
        <v>759</v>
      </c>
      <c r="B131" s="155" t="s">
        <v>523</v>
      </c>
      <c r="C131" s="155" t="s">
        <v>749</v>
      </c>
      <c r="D131" s="155" t="s">
        <v>748</v>
      </c>
      <c r="E131" s="155" t="s">
        <v>525</v>
      </c>
      <c r="F131" s="155" t="s">
        <v>526</v>
      </c>
      <c r="G131" s="158" t="s">
        <v>760</v>
      </c>
      <c r="H131" s="158" t="s">
        <v>761</v>
      </c>
      <c r="I131" s="158" t="s">
        <v>762</v>
      </c>
      <c r="J131" s="158" t="s">
        <v>762</v>
      </c>
      <c r="K131" s="158" t="s">
        <v>45</v>
      </c>
      <c r="L131" s="158" t="s">
        <v>26</v>
      </c>
      <c r="M131" s="158" t="s">
        <v>46</v>
      </c>
      <c r="N131" s="158" t="s">
        <v>28</v>
      </c>
      <c r="O131" s="158" t="s">
        <v>29</v>
      </c>
      <c r="P131" s="158" t="s">
        <v>763</v>
      </c>
    </row>
    <row r="132" spans="1:16" x14ac:dyDescent="0.25">
      <c r="A132" s="155" t="s">
        <v>764</v>
      </c>
      <c r="B132" s="155" t="s">
        <v>523</v>
      </c>
      <c r="C132" s="155" t="s">
        <v>749</v>
      </c>
      <c r="D132" s="155" t="s">
        <v>748</v>
      </c>
      <c r="E132" s="155" t="s">
        <v>525</v>
      </c>
      <c r="F132" s="155" t="s">
        <v>526</v>
      </c>
      <c r="G132" s="158" t="s">
        <v>765</v>
      </c>
      <c r="H132" s="158" t="s">
        <v>766</v>
      </c>
      <c r="I132" s="158" t="s">
        <v>767</v>
      </c>
      <c r="J132" s="158" t="s">
        <v>767</v>
      </c>
      <c r="K132" s="158" t="s">
        <v>156</v>
      </c>
      <c r="L132" s="158" t="s">
        <v>26</v>
      </c>
      <c r="M132" s="158" t="s">
        <v>157</v>
      </c>
      <c r="N132" s="158" t="s">
        <v>28</v>
      </c>
      <c r="O132" s="158" t="s">
        <v>29</v>
      </c>
      <c r="P132" s="158" t="s">
        <v>768</v>
      </c>
    </row>
    <row r="133" spans="1:16" x14ac:dyDescent="0.25">
      <c r="A133" s="155" t="s">
        <v>769</v>
      </c>
      <c r="B133" s="155" t="s">
        <v>523</v>
      </c>
      <c r="C133" s="155" t="s">
        <v>770</v>
      </c>
      <c r="D133" s="155" t="s">
        <v>771</v>
      </c>
      <c r="E133" s="155" t="s">
        <v>772</v>
      </c>
      <c r="F133" s="155" t="s">
        <v>773</v>
      </c>
      <c r="G133" s="158" t="s">
        <v>774</v>
      </c>
      <c r="H133" s="158" t="s">
        <v>775</v>
      </c>
      <c r="I133" s="158" t="s">
        <v>776</v>
      </c>
      <c r="J133" s="158" t="s">
        <v>776</v>
      </c>
      <c r="K133" s="158" t="s">
        <v>37</v>
      </c>
      <c r="L133" s="158" t="s">
        <v>26</v>
      </c>
      <c r="M133" s="158" t="s">
        <v>38</v>
      </c>
      <c r="N133" s="158" t="s">
        <v>28</v>
      </c>
      <c r="O133" s="158" t="s">
        <v>39</v>
      </c>
      <c r="P133" s="158" t="s">
        <v>777</v>
      </c>
    </row>
    <row r="134" spans="1:16" x14ac:dyDescent="0.25">
      <c r="A134" s="155" t="s">
        <v>778</v>
      </c>
      <c r="B134" s="155" t="s">
        <v>523</v>
      </c>
      <c r="C134" s="155" t="s">
        <v>770</v>
      </c>
      <c r="D134" s="155" t="s">
        <v>771</v>
      </c>
      <c r="E134" s="155" t="s">
        <v>772</v>
      </c>
      <c r="F134" s="155" t="s">
        <v>773</v>
      </c>
      <c r="G134" s="158" t="s">
        <v>779</v>
      </c>
      <c r="H134" s="158" t="s">
        <v>780</v>
      </c>
      <c r="I134" s="158" t="s">
        <v>781</v>
      </c>
      <c r="J134" s="158" t="s">
        <v>781</v>
      </c>
      <c r="K134" s="158" t="s">
        <v>37</v>
      </c>
      <c r="L134" s="158" t="s">
        <v>26</v>
      </c>
      <c r="M134" s="158" t="s">
        <v>38</v>
      </c>
      <c r="N134" s="158" t="s">
        <v>28</v>
      </c>
      <c r="O134" s="158" t="s">
        <v>39</v>
      </c>
      <c r="P134" s="158" t="s">
        <v>782</v>
      </c>
    </row>
    <row r="135" spans="1:16" x14ac:dyDescent="0.25">
      <c r="A135" s="155" t="s">
        <v>783</v>
      </c>
      <c r="B135" s="155" t="s">
        <v>523</v>
      </c>
      <c r="C135" s="155" t="s">
        <v>770</v>
      </c>
      <c r="D135" s="155" t="s">
        <v>771</v>
      </c>
      <c r="E135" s="155" t="s">
        <v>772</v>
      </c>
      <c r="F135" s="155" t="s">
        <v>773</v>
      </c>
      <c r="G135" s="158" t="s">
        <v>784</v>
      </c>
      <c r="H135" s="158" t="s">
        <v>785</v>
      </c>
      <c r="I135" s="158" t="s">
        <v>786</v>
      </c>
      <c r="J135" s="158" t="s">
        <v>786</v>
      </c>
      <c r="K135" s="158" t="s">
        <v>787</v>
      </c>
      <c r="L135" s="158" t="s">
        <v>788</v>
      </c>
      <c r="M135" s="158" t="s">
        <v>789</v>
      </c>
      <c r="N135" s="158" t="s">
        <v>253</v>
      </c>
      <c r="O135" s="158" t="s">
        <v>254</v>
      </c>
      <c r="P135" s="158" t="s">
        <v>790</v>
      </c>
    </row>
    <row r="136" spans="1:16" x14ac:dyDescent="0.25">
      <c r="A136" s="155" t="s">
        <v>771</v>
      </c>
      <c r="B136" s="155" t="s">
        <v>523</v>
      </c>
      <c r="C136" s="155" t="s">
        <v>770</v>
      </c>
      <c r="D136" s="155" t="s">
        <v>771</v>
      </c>
      <c r="E136" s="155" t="s">
        <v>772</v>
      </c>
      <c r="F136" s="155" t="s">
        <v>773</v>
      </c>
      <c r="G136" s="158" t="s">
        <v>791</v>
      </c>
      <c r="H136" s="158" t="s">
        <v>792</v>
      </c>
      <c r="I136" s="158" t="s">
        <v>793</v>
      </c>
      <c r="J136" s="158" t="s">
        <v>793</v>
      </c>
      <c r="K136" s="158" t="s">
        <v>71</v>
      </c>
      <c r="L136" s="158" t="s">
        <v>26</v>
      </c>
      <c r="M136" s="158" t="s">
        <v>72</v>
      </c>
      <c r="N136" s="158" t="s">
        <v>28</v>
      </c>
      <c r="O136" s="158" t="s">
        <v>29</v>
      </c>
      <c r="P136" s="158" t="s">
        <v>794</v>
      </c>
    </row>
    <row r="137" spans="1:16" x14ac:dyDescent="0.25">
      <c r="A137" s="155" t="s">
        <v>795</v>
      </c>
      <c r="B137" s="155" t="s">
        <v>523</v>
      </c>
      <c r="C137" s="155" t="s">
        <v>770</v>
      </c>
      <c r="D137" s="155" t="s">
        <v>771</v>
      </c>
      <c r="E137" s="155" t="s">
        <v>772</v>
      </c>
      <c r="F137" s="155" t="s">
        <v>773</v>
      </c>
      <c r="G137" s="158" t="s">
        <v>796</v>
      </c>
      <c r="H137" s="158" t="s">
        <v>797</v>
      </c>
      <c r="I137" s="158" t="s">
        <v>798</v>
      </c>
      <c r="J137" s="158" t="s">
        <v>798</v>
      </c>
      <c r="K137" s="158" t="s">
        <v>71</v>
      </c>
      <c r="L137" s="158" t="s">
        <v>26</v>
      </c>
      <c r="M137" s="158" t="s">
        <v>72</v>
      </c>
      <c r="N137" s="158" t="s">
        <v>28</v>
      </c>
      <c r="O137" s="158" t="s">
        <v>29</v>
      </c>
      <c r="P137" s="158" t="s">
        <v>799</v>
      </c>
    </row>
    <row r="138" spans="1:16" x14ac:dyDescent="0.25">
      <c r="A138" s="155" t="s">
        <v>800</v>
      </c>
      <c r="B138" s="155" t="s">
        <v>523</v>
      </c>
      <c r="C138" s="155" t="s">
        <v>770</v>
      </c>
      <c r="D138" s="155" t="s">
        <v>771</v>
      </c>
      <c r="E138" s="155" t="s">
        <v>772</v>
      </c>
      <c r="F138" s="155" t="s">
        <v>773</v>
      </c>
      <c r="G138" s="158" t="s">
        <v>801</v>
      </c>
      <c r="H138" s="158" t="s">
        <v>802</v>
      </c>
      <c r="I138" s="158" t="s">
        <v>803</v>
      </c>
      <c r="J138" s="158" t="s">
        <v>804</v>
      </c>
      <c r="K138" s="158" t="s">
        <v>71</v>
      </c>
      <c r="L138" s="158" t="s">
        <v>26</v>
      </c>
      <c r="M138" s="158" t="s">
        <v>72</v>
      </c>
      <c r="N138" s="158" t="s">
        <v>28</v>
      </c>
      <c r="O138" s="158" t="s">
        <v>29</v>
      </c>
      <c r="P138" s="158" t="s">
        <v>805</v>
      </c>
    </row>
    <row r="139" spans="1:16" x14ac:dyDescent="0.25">
      <c r="A139" s="155" t="s">
        <v>806</v>
      </c>
      <c r="B139" s="155" t="s">
        <v>523</v>
      </c>
      <c r="C139" s="155" t="s">
        <v>770</v>
      </c>
      <c r="D139" s="155" t="s">
        <v>771</v>
      </c>
      <c r="E139" s="155" t="s">
        <v>772</v>
      </c>
      <c r="F139" s="155" t="s">
        <v>773</v>
      </c>
      <c r="G139" s="158" t="s">
        <v>807</v>
      </c>
      <c r="H139" s="158" t="s">
        <v>808</v>
      </c>
      <c r="I139" s="158" t="s">
        <v>809</v>
      </c>
      <c r="J139" s="158" t="s">
        <v>810</v>
      </c>
      <c r="K139" s="158" t="s">
        <v>71</v>
      </c>
      <c r="L139" s="158" t="s">
        <v>26</v>
      </c>
      <c r="M139" s="158" t="s">
        <v>72</v>
      </c>
      <c r="N139" s="158" t="s">
        <v>28</v>
      </c>
      <c r="O139" s="158" t="s">
        <v>29</v>
      </c>
      <c r="P139" s="158" t="s">
        <v>811</v>
      </c>
    </row>
    <row r="140" spans="1:16" x14ac:dyDescent="0.25">
      <c r="A140" s="155" t="s">
        <v>812</v>
      </c>
      <c r="B140" s="155" t="s">
        <v>523</v>
      </c>
      <c r="C140" s="155" t="s">
        <v>770</v>
      </c>
      <c r="D140" s="155" t="s">
        <v>771</v>
      </c>
      <c r="E140" s="155" t="s">
        <v>772</v>
      </c>
      <c r="F140" s="155" t="s">
        <v>773</v>
      </c>
      <c r="G140" s="158" t="s">
        <v>813</v>
      </c>
      <c r="H140" s="158" t="s">
        <v>814</v>
      </c>
      <c r="I140" s="158" t="s">
        <v>815</v>
      </c>
      <c r="J140" s="158" t="s">
        <v>816</v>
      </c>
      <c r="K140" s="158" t="s">
        <v>71</v>
      </c>
      <c r="L140" s="158" t="s">
        <v>26</v>
      </c>
      <c r="M140" s="158" t="s">
        <v>72</v>
      </c>
      <c r="N140" s="158" t="s">
        <v>28</v>
      </c>
      <c r="O140" s="158" t="s">
        <v>29</v>
      </c>
      <c r="P140" s="158" t="s">
        <v>817</v>
      </c>
    </row>
    <row r="141" spans="1:16" x14ac:dyDescent="0.25">
      <c r="A141" s="155" t="s">
        <v>818</v>
      </c>
      <c r="B141" s="155" t="s">
        <v>523</v>
      </c>
      <c r="C141" s="155" t="s">
        <v>770</v>
      </c>
      <c r="D141" s="155" t="s">
        <v>771</v>
      </c>
      <c r="E141" s="155" t="s">
        <v>772</v>
      </c>
      <c r="F141" s="155" t="s">
        <v>773</v>
      </c>
      <c r="G141" s="158" t="s">
        <v>819</v>
      </c>
      <c r="H141" s="158" t="s">
        <v>820</v>
      </c>
      <c r="I141" s="158" t="s">
        <v>821</v>
      </c>
      <c r="J141" s="158" t="s">
        <v>821</v>
      </c>
      <c r="K141" s="158" t="s">
        <v>822</v>
      </c>
      <c r="L141" s="158" t="s">
        <v>26</v>
      </c>
      <c r="M141" s="158" t="s">
        <v>823</v>
      </c>
      <c r="N141" s="158" t="s">
        <v>28</v>
      </c>
      <c r="O141" s="158" t="s">
        <v>29</v>
      </c>
      <c r="P141" s="158" t="s">
        <v>824</v>
      </c>
    </row>
    <row r="142" spans="1:16" x14ac:dyDescent="0.25">
      <c r="A142" s="155" t="s">
        <v>825</v>
      </c>
      <c r="B142" s="155" t="s">
        <v>523</v>
      </c>
      <c r="C142" s="155" t="s">
        <v>770</v>
      </c>
      <c r="D142" s="155" t="s">
        <v>771</v>
      </c>
      <c r="E142" s="155" t="s">
        <v>772</v>
      </c>
      <c r="F142" s="155" t="s">
        <v>773</v>
      </c>
      <c r="G142" s="158" t="s">
        <v>826</v>
      </c>
      <c r="H142" s="158" t="s">
        <v>827</v>
      </c>
      <c r="I142" s="158" t="s">
        <v>828</v>
      </c>
      <c r="J142" s="158" t="s">
        <v>828</v>
      </c>
      <c r="K142" s="158" t="s">
        <v>822</v>
      </c>
      <c r="L142" s="158" t="s">
        <v>26</v>
      </c>
      <c r="M142" s="158" t="s">
        <v>823</v>
      </c>
      <c r="N142" s="158" t="s">
        <v>28</v>
      </c>
      <c r="O142" s="158" t="s">
        <v>29</v>
      </c>
      <c r="P142" s="158" t="s">
        <v>829</v>
      </c>
    </row>
    <row r="143" spans="1:16" x14ac:dyDescent="0.25">
      <c r="A143" s="155" t="s">
        <v>830</v>
      </c>
      <c r="B143" s="155" t="s">
        <v>523</v>
      </c>
      <c r="C143" s="155" t="s">
        <v>770</v>
      </c>
      <c r="D143" s="155" t="s">
        <v>771</v>
      </c>
      <c r="E143" s="155" t="s">
        <v>772</v>
      </c>
      <c r="F143" s="155" t="s">
        <v>773</v>
      </c>
      <c r="G143" s="158" t="s">
        <v>831</v>
      </c>
      <c r="H143" s="158" t="s">
        <v>832</v>
      </c>
      <c r="I143" s="158" t="s">
        <v>833</v>
      </c>
      <c r="J143" s="158" t="s">
        <v>833</v>
      </c>
      <c r="K143" s="158" t="s">
        <v>822</v>
      </c>
      <c r="L143" s="158" t="s">
        <v>26</v>
      </c>
      <c r="M143" s="158" t="s">
        <v>823</v>
      </c>
      <c r="N143" s="158" t="s">
        <v>28</v>
      </c>
      <c r="O143" s="158" t="s">
        <v>29</v>
      </c>
      <c r="P143" s="158" t="s">
        <v>834</v>
      </c>
    </row>
    <row r="144" spans="1:16" x14ac:dyDescent="0.25">
      <c r="A144" s="155" t="s">
        <v>835</v>
      </c>
      <c r="B144" s="155" t="s">
        <v>523</v>
      </c>
      <c r="C144" s="155" t="s">
        <v>836</v>
      </c>
      <c r="D144" s="155" t="s">
        <v>837</v>
      </c>
      <c r="E144" s="155" t="s">
        <v>525</v>
      </c>
      <c r="F144" s="155" t="s">
        <v>526</v>
      </c>
      <c r="G144" s="158" t="s">
        <v>838</v>
      </c>
      <c r="H144" s="158" t="s">
        <v>839</v>
      </c>
      <c r="I144" s="158" t="s">
        <v>840</v>
      </c>
      <c r="J144" s="158" t="s">
        <v>840</v>
      </c>
      <c r="K144" s="158" t="s">
        <v>71</v>
      </c>
      <c r="L144" s="158" t="s">
        <v>26</v>
      </c>
      <c r="M144" s="158" t="s">
        <v>72</v>
      </c>
      <c r="N144" s="158" t="s">
        <v>28</v>
      </c>
      <c r="O144" s="158" t="s">
        <v>29</v>
      </c>
      <c r="P144" s="158" t="s">
        <v>841</v>
      </c>
    </row>
    <row r="145" spans="1:16" x14ac:dyDescent="0.25">
      <c r="A145" s="155" t="s">
        <v>842</v>
      </c>
      <c r="B145" s="155" t="s">
        <v>523</v>
      </c>
      <c r="C145" s="155" t="s">
        <v>836</v>
      </c>
      <c r="D145" s="155" t="s">
        <v>837</v>
      </c>
      <c r="E145" s="155" t="s">
        <v>525</v>
      </c>
      <c r="F145" s="155" t="s">
        <v>526</v>
      </c>
      <c r="G145" s="161" t="s">
        <v>843</v>
      </c>
      <c r="H145" s="161" t="s">
        <v>844</v>
      </c>
    </row>
    <row r="146" spans="1:16" x14ac:dyDescent="0.25">
      <c r="A146" s="155" t="s">
        <v>845</v>
      </c>
      <c r="B146" s="155" t="s">
        <v>523</v>
      </c>
      <c r="C146" s="155" t="s">
        <v>836</v>
      </c>
      <c r="D146" s="155" t="s">
        <v>837</v>
      </c>
      <c r="E146" s="155" t="s">
        <v>525</v>
      </c>
      <c r="F146" s="155" t="s">
        <v>526</v>
      </c>
      <c r="G146" s="161" t="s">
        <v>846</v>
      </c>
      <c r="H146" s="161" t="s">
        <v>844</v>
      </c>
    </row>
    <row r="147" spans="1:16" x14ac:dyDescent="0.25">
      <c r="A147" s="155" t="s">
        <v>847</v>
      </c>
      <c r="B147" s="155" t="s">
        <v>523</v>
      </c>
      <c r="C147" s="155" t="s">
        <v>836</v>
      </c>
      <c r="D147" s="155" t="s">
        <v>837</v>
      </c>
      <c r="E147" s="155" t="s">
        <v>525</v>
      </c>
      <c r="F147" s="155" t="s">
        <v>526</v>
      </c>
      <c r="G147" s="158" t="s">
        <v>848</v>
      </c>
      <c r="H147" s="158" t="s">
        <v>849</v>
      </c>
      <c r="I147" s="158" t="s">
        <v>850</v>
      </c>
      <c r="J147" s="158" t="s">
        <v>850</v>
      </c>
      <c r="K147" s="158" t="s">
        <v>156</v>
      </c>
      <c r="L147" s="158" t="s">
        <v>26</v>
      </c>
      <c r="M147" s="158" t="s">
        <v>157</v>
      </c>
      <c r="N147" s="158" t="s">
        <v>28</v>
      </c>
      <c r="O147" s="158" t="s">
        <v>29</v>
      </c>
      <c r="P147" s="158" t="s">
        <v>851</v>
      </c>
    </row>
    <row r="148" spans="1:16" x14ac:dyDescent="0.25">
      <c r="A148" s="155" t="s">
        <v>852</v>
      </c>
      <c r="B148" s="155" t="s">
        <v>523</v>
      </c>
      <c r="C148" s="155" t="s">
        <v>836</v>
      </c>
      <c r="D148" s="155" t="s">
        <v>837</v>
      </c>
      <c r="E148" s="155" t="s">
        <v>525</v>
      </c>
      <c r="F148" s="155" t="s">
        <v>526</v>
      </c>
      <c r="G148" s="158" t="s">
        <v>853</v>
      </c>
      <c r="H148" s="158" t="s">
        <v>854</v>
      </c>
      <c r="I148" s="158" t="s">
        <v>855</v>
      </c>
      <c r="J148" s="158" t="s">
        <v>855</v>
      </c>
      <c r="K148" s="158" t="s">
        <v>37</v>
      </c>
      <c r="L148" s="158" t="s">
        <v>26</v>
      </c>
      <c r="M148" s="158" t="s">
        <v>38</v>
      </c>
      <c r="N148" s="158" t="s">
        <v>28</v>
      </c>
      <c r="O148" s="158" t="s">
        <v>39</v>
      </c>
      <c r="P148" s="158" t="s">
        <v>856</v>
      </c>
    </row>
    <row r="149" spans="1:16" x14ac:dyDescent="0.25">
      <c r="A149" s="155" t="s">
        <v>857</v>
      </c>
      <c r="B149" s="155" t="s">
        <v>523</v>
      </c>
      <c r="C149" s="155" t="s">
        <v>836</v>
      </c>
      <c r="D149" s="155" t="s">
        <v>837</v>
      </c>
      <c r="E149" s="155" t="s">
        <v>525</v>
      </c>
      <c r="F149" s="155" t="s">
        <v>526</v>
      </c>
      <c r="G149" s="158" t="s">
        <v>858</v>
      </c>
      <c r="H149" s="158" t="s">
        <v>859</v>
      </c>
      <c r="I149" s="158" t="s">
        <v>860</v>
      </c>
      <c r="J149" s="158" t="s">
        <v>860</v>
      </c>
      <c r="K149" s="158" t="s">
        <v>861</v>
      </c>
      <c r="L149" s="158" t="s">
        <v>26</v>
      </c>
      <c r="M149" s="158" t="s">
        <v>862</v>
      </c>
      <c r="N149" s="158" t="s">
        <v>28</v>
      </c>
      <c r="O149" s="158" t="s">
        <v>29</v>
      </c>
      <c r="P149" s="158" t="s">
        <v>863</v>
      </c>
    </row>
    <row r="150" spans="1:16" x14ac:dyDescent="0.25">
      <c r="A150" s="155" t="s">
        <v>837</v>
      </c>
      <c r="B150" s="155" t="s">
        <v>523</v>
      </c>
      <c r="C150" s="155" t="s">
        <v>836</v>
      </c>
      <c r="D150" s="155" t="s">
        <v>837</v>
      </c>
      <c r="E150" s="155" t="s">
        <v>525</v>
      </c>
      <c r="F150" s="155" t="s">
        <v>526</v>
      </c>
      <c r="G150" s="158" t="s">
        <v>864</v>
      </c>
      <c r="H150" s="158" t="s">
        <v>865</v>
      </c>
      <c r="I150" s="158" t="s">
        <v>866</v>
      </c>
      <c r="J150" s="158" t="s">
        <v>866</v>
      </c>
      <c r="K150" s="158" t="s">
        <v>867</v>
      </c>
      <c r="L150" s="158" t="s">
        <v>26</v>
      </c>
      <c r="M150" s="158" t="s">
        <v>868</v>
      </c>
      <c r="N150" s="158" t="s">
        <v>28</v>
      </c>
      <c r="O150" s="158" t="s">
        <v>29</v>
      </c>
      <c r="P150" s="158" t="s">
        <v>869</v>
      </c>
    </row>
    <row r="151" spans="1:16" x14ac:dyDescent="0.25">
      <c r="A151" s="155" t="s">
        <v>870</v>
      </c>
      <c r="B151" s="155" t="s">
        <v>523</v>
      </c>
      <c r="C151" s="155" t="s">
        <v>836</v>
      </c>
      <c r="D151" s="155" t="s">
        <v>837</v>
      </c>
      <c r="E151" s="155" t="s">
        <v>525</v>
      </c>
      <c r="F151" s="155" t="s">
        <v>526</v>
      </c>
      <c r="G151" s="158" t="s">
        <v>871</v>
      </c>
      <c r="H151" s="158" t="s">
        <v>872</v>
      </c>
      <c r="I151" s="158" t="s">
        <v>873</v>
      </c>
      <c r="J151" s="158" t="s">
        <v>873</v>
      </c>
      <c r="K151" s="158" t="s">
        <v>874</v>
      </c>
      <c r="L151" s="158" t="s">
        <v>26</v>
      </c>
      <c r="M151" s="158" t="s">
        <v>875</v>
      </c>
      <c r="N151" s="158" t="s">
        <v>28</v>
      </c>
      <c r="O151" s="158" t="s">
        <v>29</v>
      </c>
      <c r="P151" s="158" t="s">
        <v>876</v>
      </c>
    </row>
    <row r="152" spans="1:16" x14ac:dyDescent="0.25">
      <c r="A152" s="155" t="s">
        <v>877</v>
      </c>
      <c r="B152" s="155" t="s">
        <v>523</v>
      </c>
      <c r="C152" s="155" t="s">
        <v>836</v>
      </c>
      <c r="D152" s="155" t="s">
        <v>837</v>
      </c>
      <c r="E152" s="155" t="s">
        <v>525</v>
      </c>
      <c r="F152" s="155" t="s">
        <v>526</v>
      </c>
      <c r="G152" s="158" t="s">
        <v>878</v>
      </c>
      <c r="H152" s="158" t="s">
        <v>879</v>
      </c>
      <c r="I152" s="158" t="s">
        <v>880</v>
      </c>
      <c r="J152" s="158" t="s">
        <v>880</v>
      </c>
      <c r="K152" s="158" t="s">
        <v>45</v>
      </c>
      <c r="L152" s="158" t="s">
        <v>26</v>
      </c>
      <c r="M152" s="158" t="s">
        <v>46</v>
      </c>
      <c r="N152" s="158" t="s">
        <v>28</v>
      </c>
      <c r="O152" s="158" t="s">
        <v>29</v>
      </c>
      <c r="P152" s="158" t="s">
        <v>881</v>
      </c>
    </row>
    <row r="153" spans="1:16" x14ac:dyDescent="0.25">
      <c r="A153" s="155" t="s">
        <v>882</v>
      </c>
      <c r="B153" s="155" t="s">
        <v>523</v>
      </c>
      <c r="C153" s="155" t="s">
        <v>836</v>
      </c>
      <c r="D153" s="155" t="s">
        <v>837</v>
      </c>
      <c r="E153" s="155" t="s">
        <v>525</v>
      </c>
      <c r="F153" s="155" t="s">
        <v>526</v>
      </c>
      <c r="G153" s="158" t="s">
        <v>883</v>
      </c>
      <c r="H153" s="158" t="s">
        <v>884</v>
      </c>
      <c r="I153" s="158" t="s">
        <v>885</v>
      </c>
      <c r="J153" s="158" t="s">
        <v>885</v>
      </c>
      <c r="K153" s="158" t="s">
        <v>71</v>
      </c>
      <c r="L153" s="158" t="s">
        <v>26</v>
      </c>
      <c r="M153" s="158" t="s">
        <v>72</v>
      </c>
      <c r="N153" s="158" t="s">
        <v>28</v>
      </c>
      <c r="O153" s="158" t="s">
        <v>29</v>
      </c>
      <c r="P153" s="158" t="s">
        <v>886</v>
      </c>
    </row>
    <row r="154" spans="1:16" x14ac:dyDescent="0.25">
      <c r="A154" s="155" t="s">
        <v>887</v>
      </c>
      <c r="B154" s="155" t="s">
        <v>523</v>
      </c>
      <c r="C154" s="155" t="s">
        <v>836</v>
      </c>
      <c r="D154" s="155" t="s">
        <v>837</v>
      </c>
      <c r="E154" s="155" t="s">
        <v>525</v>
      </c>
      <c r="F154" s="155" t="s">
        <v>526</v>
      </c>
      <c r="G154" s="158" t="s">
        <v>888</v>
      </c>
      <c r="H154" s="158" t="s">
        <v>889</v>
      </c>
      <c r="I154" s="158" t="s">
        <v>890</v>
      </c>
      <c r="J154" s="158" t="s">
        <v>890</v>
      </c>
      <c r="K154" s="158" t="s">
        <v>71</v>
      </c>
      <c r="L154" s="158" t="s">
        <v>26</v>
      </c>
      <c r="M154" s="158" t="s">
        <v>72</v>
      </c>
      <c r="N154" s="158" t="s">
        <v>28</v>
      </c>
      <c r="O154" s="158" t="s">
        <v>29</v>
      </c>
      <c r="P154" s="158" t="s">
        <v>891</v>
      </c>
    </row>
    <row r="155" spans="1:16" x14ac:dyDescent="0.25">
      <c r="A155" s="155" t="s">
        <v>892</v>
      </c>
      <c r="B155" s="155" t="s">
        <v>523</v>
      </c>
      <c r="C155" s="155" t="s">
        <v>836</v>
      </c>
      <c r="D155" s="155" t="s">
        <v>837</v>
      </c>
      <c r="E155" s="155" t="s">
        <v>525</v>
      </c>
      <c r="F155" s="155" t="s">
        <v>526</v>
      </c>
      <c r="G155" s="158" t="s">
        <v>893</v>
      </c>
      <c r="H155" s="158" t="s">
        <v>894</v>
      </c>
      <c r="I155" s="158" t="s">
        <v>895</v>
      </c>
      <c r="J155" s="158" t="s">
        <v>895</v>
      </c>
      <c r="K155" s="158" t="s">
        <v>71</v>
      </c>
      <c r="L155" s="158" t="s">
        <v>26</v>
      </c>
      <c r="M155" s="158" t="s">
        <v>72</v>
      </c>
      <c r="N155" s="158" t="s">
        <v>28</v>
      </c>
      <c r="O155" s="158" t="s">
        <v>29</v>
      </c>
      <c r="P155" s="158" t="s">
        <v>896</v>
      </c>
    </row>
    <row r="156" spans="1:16" x14ac:dyDescent="0.25">
      <c r="A156" s="155" t="s">
        <v>897</v>
      </c>
      <c r="B156" s="155" t="s">
        <v>523</v>
      </c>
      <c r="C156" s="155" t="s">
        <v>836</v>
      </c>
      <c r="D156" s="155" t="s">
        <v>837</v>
      </c>
      <c r="E156" s="155" t="s">
        <v>525</v>
      </c>
      <c r="F156" s="155" t="s">
        <v>526</v>
      </c>
      <c r="G156" s="158" t="s">
        <v>898</v>
      </c>
      <c r="H156" s="158" t="s">
        <v>899</v>
      </c>
      <c r="I156" s="158" t="s">
        <v>900</v>
      </c>
      <c r="J156" s="158" t="s">
        <v>900</v>
      </c>
      <c r="K156" s="158" t="s">
        <v>71</v>
      </c>
      <c r="L156" s="158" t="s">
        <v>26</v>
      </c>
      <c r="M156" s="158" t="s">
        <v>72</v>
      </c>
      <c r="N156" s="158" t="s">
        <v>28</v>
      </c>
      <c r="O156" s="158" t="s">
        <v>29</v>
      </c>
      <c r="P156" s="158" t="s">
        <v>901</v>
      </c>
    </row>
    <row r="157" spans="1:16" x14ac:dyDescent="0.25">
      <c r="A157" s="155" t="s">
        <v>902</v>
      </c>
      <c r="B157" s="155" t="s">
        <v>523</v>
      </c>
      <c r="C157" s="155" t="s">
        <v>836</v>
      </c>
      <c r="D157" s="155" t="s">
        <v>837</v>
      </c>
      <c r="E157" s="155" t="s">
        <v>525</v>
      </c>
      <c r="F157" s="155" t="s">
        <v>526</v>
      </c>
      <c r="G157" s="158" t="s">
        <v>903</v>
      </c>
      <c r="H157" s="158" t="s">
        <v>904</v>
      </c>
      <c r="I157" s="158" t="s">
        <v>905</v>
      </c>
      <c r="J157" s="158" t="s">
        <v>905</v>
      </c>
      <c r="K157" s="158" t="s">
        <v>71</v>
      </c>
      <c r="L157" s="158" t="s">
        <v>26</v>
      </c>
      <c r="M157" s="158" t="s">
        <v>72</v>
      </c>
      <c r="N157" s="158" t="s">
        <v>28</v>
      </c>
      <c r="O157" s="158" t="s">
        <v>29</v>
      </c>
      <c r="P157" s="158" t="s">
        <v>906</v>
      </c>
    </row>
    <row r="158" spans="1:16" x14ac:dyDescent="0.25">
      <c r="A158" s="155" t="s">
        <v>907</v>
      </c>
      <c r="B158" s="155" t="s">
        <v>523</v>
      </c>
      <c r="C158" s="155" t="s">
        <v>908</v>
      </c>
      <c r="D158" s="155" t="s">
        <v>909</v>
      </c>
      <c r="E158" s="155" t="s">
        <v>525</v>
      </c>
      <c r="F158" s="155" t="s">
        <v>526</v>
      </c>
      <c r="G158" s="158" t="s">
        <v>910</v>
      </c>
      <c r="H158" s="158" t="s">
        <v>911</v>
      </c>
      <c r="I158" s="158" t="s">
        <v>912</v>
      </c>
      <c r="J158" s="158" t="s">
        <v>912</v>
      </c>
      <c r="K158" s="158" t="s">
        <v>71</v>
      </c>
      <c r="L158" s="158" t="s">
        <v>26</v>
      </c>
      <c r="M158" s="158" t="s">
        <v>72</v>
      </c>
      <c r="N158" s="158" t="s">
        <v>28</v>
      </c>
      <c r="O158" s="158" t="s">
        <v>29</v>
      </c>
      <c r="P158" s="158" t="s">
        <v>913</v>
      </c>
    </row>
    <row r="159" spans="1:16" x14ac:dyDescent="0.25">
      <c r="A159" s="155" t="s">
        <v>914</v>
      </c>
      <c r="B159" s="155" t="s">
        <v>523</v>
      </c>
      <c r="C159" s="155" t="s">
        <v>908</v>
      </c>
      <c r="D159" s="155" t="s">
        <v>909</v>
      </c>
      <c r="E159" s="155" t="s">
        <v>525</v>
      </c>
      <c r="F159" s="155" t="s">
        <v>526</v>
      </c>
      <c r="G159" s="158" t="s">
        <v>915</v>
      </c>
      <c r="H159" s="158" t="s">
        <v>916</v>
      </c>
      <c r="I159" s="158" t="s">
        <v>917</v>
      </c>
      <c r="J159" s="158" t="s">
        <v>917</v>
      </c>
      <c r="K159" s="158" t="s">
        <v>59</v>
      </c>
      <c r="L159" s="158" t="s">
        <v>26</v>
      </c>
      <c r="M159" s="158" t="s">
        <v>60</v>
      </c>
      <c r="N159" s="158" t="s">
        <v>28</v>
      </c>
      <c r="O159" s="158" t="s">
        <v>29</v>
      </c>
      <c r="P159" s="158" t="s">
        <v>918</v>
      </c>
    </row>
    <row r="160" spans="1:16" x14ac:dyDescent="0.25">
      <c r="A160" s="155" t="s">
        <v>919</v>
      </c>
      <c r="B160" s="155" t="s">
        <v>523</v>
      </c>
      <c r="C160" s="155" t="s">
        <v>770</v>
      </c>
      <c r="D160" s="155" t="s">
        <v>771</v>
      </c>
      <c r="E160" s="155" t="s">
        <v>772</v>
      </c>
      <c r="F160" s="155" t="s">
        <v>773</v>
      </c>
      <c r="G160" s="158" t="s">
        <v>920</v>
      </c>
      <c r="H160" s="158" t="s">
        <v>921</v>
      </c>
      <c r="I160" s="158" t="s">
        <v>922</v>
      </c>
      <c r="J160" s="158" t="s">
        <v>922</v>
      </c>
      <c r="K160" s="158" t="s">
        <v>71</v>
      </c>
      <c r="L160" s="158" t="s">
        <v>26</v>
      </c>
      <c r="M160" s="158" t="s">
        <v>72</v>
      </c>
      <c r="N160" s="158" t="s">
        <v>28</v>
      </c>
      <c r="O160" s="158" t="s">
        <v>29</v>
      </c>
      <c r="P160" s="158" t="s">
        <v>923</v>
      </c>
    </row>
    <row r="161" spans="1:16" x14ac:dyDescent="0.25">
      <c r="A161" s="155" t="s">
        <v>924</v>
      </c>
      <c r="B161" s="155" t="s">
        <v>523</v>
      </c>
      <c r="C161" s="155" t="s">
        <v>908</v>
      </c>
      <c r="D161" s="155" t="s">
        <v>909</v>
      </c>
      <c r="E161" s="155" t="s">
        <v>525</v>
      </c>
      <c r="F161" s="155" t="s">
        <v>526</v>
      </c>
      <c r="G161" s="158" t="s">
        <v>925</v>
      </c>
      <c r="H161" s="158" t="s">
        <v>926</v>
      </c>
      <c r="I161" s="158" t="s">
        <v>927</v>
      </c>
      <c r="J161" s="158" t="s">
        <v>927</v>
      </c>
      <c r="K161" s="158" t="s">
        <v>71</v>
      </c>
      <c r="L161" s="158" t="s">
        <v>26</v>
      </c>
      <c r="M161" s="158" t="s">
        <v>72</v>
      </c>
      <c r="N161" s="158" t="s">
        <v>28</v>
      </c>
      <c r="O161" s="158" t="s">
        <v>29</v>
      </c>
      <c r="P161" s="158" t="s">
        <v>928</v>
      </c>
    </row>
    <row r="162" spans="1:16" x14ac:dyDescent="0.25">
      <c r="A162" s="155" t="s">
        <v>929</v>
      </c>
      <c r="B162" s="155" t="s">
        <v>523</v>
      </c>
      <c r="C162" s="155" t="s">
        <v>908</v>
      </c>
      <c r="D162" s="155" t="s">
        <v>909</v>
      </c>
      <c r="E162" s="155" t="s">
        <v>525</v>
      </c>
      <c r="F162" s="155" t="s">
        <v>526</v>
      </c>
      <c r="G162" s="158" t="s">
        <v>930</v>
      </c>
      <c r="H162" s="158" t="s">
        <v>931</v>
      </c>
      <c r="I162" s="158" t="s">
        <v>932</v>
      </c>
      <c r="J162" s="158" t="s">
        <v>932</v>
      </c>
      <c r="K162" s="158" t="s">
        <v>37</v>
      </c>
      <c r="L162" s="158" t="s">
        <v>26</v>
      </c>
      <c r="M162" s="158" t="s">
        <v>38</v>
      </c>
      <c r="N162" s="158" t="s">
        <v>28</v>
      </c>
      <c r="O162" s="158" t="s">
        <v>39</v>
      </c>
      <c r="P162" s="158" t="s">
        <v>933</v>
      </c>
    </row>
    <row r="163" spans="1:16" x14ac:dyDescent="0.25">
      <c r="A163" s="155" t="s">
        <v>909</v>
      </c>
      <c r="B163" s="155" t="s">
        <v>523</v>
      </c>
      <c r="C163" s="155" t="s">
        <v>908</v>
      </c>
      <c r="D163" s="155" t="s">
        <v>909</v>
      </c>
      <c r="E163" s="155" t="s">
        <v>525</v>
      </c>
      <c r="F163" s="155" t="s">
        <v>526</v>
      </c>
      <c r="G163" s="158" t="s">
        <v>934</v>
      </c>
      <c r="H163" s="158" t="s">
        <v>935</v>
      </c>
      <c r="I163" s="158" t="s">
        <v>936</v>
      </c>
      <c r="J163" s="158" t="s">
        <v>936</v>
      </c>
      <c r="K163" s="158" t="s">
        <v>37</v>
      </c>
      <c r="L163" s="158" t="s">
        <v>26</v>
      </c>
      <c r="M163" s="158" t="s">
        <v>38</v>
      </c>
      <c r="N163" s="158" t="s">
        <v>28</v>
      </c>
      <c r="O163" s="158" t="s">
        <v>39</v>
      </c>
      <c r="P163" s="158" t="s">
        <v>937</v>
      </c>
    </row>
    <row r="164" spans="1:16" x14ac:dyDescent="0.25">
      <c r="A164" s="155" t="s">
        <v>938</v>
      </c>
      <c r="B164" s="155" t="s">
        <v>523</v>
      </c>
      <c r="C164" s="155" t="s">
        <v>908</v>
      </c>
      <c r="D164" s="155" t="s">
        <v>909</v>
      </c>
      <c r="E164" s="155" t="s">
        <v>525</v>
      </c>
      <c r="F164" s="155" t="s">
        <v>526</v>
      </c>
      <c r="G164" s="158" t="s">
        <v>939</v>
      </c>
      <c r="H164" s="158" t="s">
        <v>940</v>
      </c>
      <c r="I164" s="158" t="s">
        <v>941</v>
      </c>
      <c r="J164" s="158" t="s">
        <v>941</v>
      </c>
      <c r="K164" s="158" t="s">
        <v>71</v>
      </c>
      <c r="L164" s="158" t="s">
        <v>26</v>
      </c>
      <c r="M164" s="158" t="s">
        <v>72</v>
      </c>
      <c r="N164" s="158" t="s">
        <v>28</v>
      </c>
      <c r="O164" s="158" t="s">
        <v>29</v>
      </c>
      <c r="P164" s="158" t="s">
        <v>942</v>
      </c>
    </row>
    <row r="165" spans="1:16" x14ac:dyDescent="0.25">
      <c r="A165" s="155" t="s">
        <v>943</v>
      </c>
      <c r="B165" s="155" t="s">
        <v>523</v>
      </c>
      <c r="C165" s="155" t="s">
        <v>908</v>
      </c>
      <c r="D165" s="155" t="s">
        <v>909</v>
      </c>
      <c r="E165" s="155" t="s">
        <v>525</v>
      </c>
      <c r="F165" s="155" t="s">
        <v>526</v>
      </c>
      <c r="G165" s="158" t="s">
        <v>944</v>
      </c>
      <c r="H165" s="158" t="s">
        <v>945</v>
      </c>
      <c r="I165" s="158" t="s">
        <v>946</v>
      </c>
      <c r="J165" s="158" t="s">
        <v>946</v>
      </c>
      <c r="K165" s="158" t="s">
        <v>71</v>
      </c>
      <c r="L165" s="158" t="s">
        <v>26</v>
      </c>
      <c r="M165" s="158" t="s">
        <v>72</v>
      </c>
      <c r="N165" s="158" t="s">
        <v>28</v>
      </c>
      <c r="O165" s="158" t="s">
        <v>29</v>
      </c>
      <c r="P165" s="158" t="s">
        <v>947</v>
      </c>
    </row>
    <row r="166" spans="1:16" x14ac:dyDescent="0.25">
      <c r="A166" s="155" t="s">
        <v>948</v>
      </c>
      <c r="B166" s="155" t="s">
        <v>523</v>
      </c>
      <c r="C166" s="155" t="s">
        <v>908</v>
      </c>
      <c r="D166" s="155" t="s">
        <v>909</v>
      </c>
      <c r="E166" s="155" t="s">
        <v>525</v>
      </c>
      <c r="F166" s="155" t="s">
        <v>526</v>
      </c>
      <c r="G166" s="158" t="s">
        <v>949</v>
      </c>
      <c r="H166" s="158" t="s">
        <v>950</v>
      </c>
      <c r="I166" s="158" t="s">
        <v>951</v>
      </c>
      <c r="J166" s="158" t="s">
        <v>951</v>
      </c>
      <c r="K166" s="158" t="s">
        <v>71</v>
      </c>
      <c r="L166" s="158" t="s">
        <v>26</v>
      </c>
      <c r="M166" s="158" t="s">
        <v>72</v>
      </c>
      <c r="N166" s="158" t="s">
        <v>28</v>
      </c>
      <c r="O166" s="158" t="s">
        <v>29</v>
      </c>
      <c r="P166" s="158" t="s">
        <v>952</v>
      </c>
    </row>
    <row r="167" spans="1:16" x14ac:dyDescent="0.25">
      <c r="A167" s="155" t="s">
        <v>953</v>
      </c>
      <c r="B167" s="155" t="s">
        <v>523</v>
      </c>
      <c r="C167" s="155" t="s">
        <v>954</v>
      </c>
      <c r="D167" s="155" t="s">
        <v>943</v>
      </c>
      <c r="E167" s="155" t="s">
        <v>525</v>
      </c>
      <c r="F167" s="155" t="s">
        <v>526</v>
      </c>
      <c r="G167" s="158" t="s">
        <v>955</v>
      </c>
      <c r="H167" s="158" t="s">
        <v>956</v>
      </c>
      <c r="I167" s="158" t="s">
        <v>957</v>
      </c>
      <c r="J167" s="158" t="s">
        <v>957</v>
      </c>
      <c r="K167" s="158" t="s">
        <v>358</v>
      </c>
      <c r="L167" s="158" t="s">
        <v>26</v>
      </c>
      <c r="M167" s="158" t="s">
        <v>359</v>
      </c>
      <c r="N167" s="158" t="s">
        <v>28</v>
      </c>
      <c r="O167" s="158" t="s">
        <v>39</v>
      </c>
      <c r="P167" s="158" t="s">
        <v>958</v>
      </c>
    </row>
    <row r="168" spans="1:16" x14ac:dyDescent="0.25">
      <c r="A168" s="155" t="s">
        <v>959</v>
      </c>
      <c r="B168" s="155" t="s">
        <v>523</v>
      </c>
      <c r="C168" s="155" t="s">
        <v>960</v>
      </c>
      <c r="D168" s="155" t="s">
        <v>959</v>
      </c>
      <c r="E168" s="155" t="s">
        <v>525</v>
      </c>
      <c r="F168" s="155" t="s">
        <v>526</v>
      </c>
      <c r="G168" s="158" t="s">
        <v>961</v>
      </c>
      <c r="H168" s="158" t="s">
        <v>962</v>
      </c>
      <c r="I168" s="158" t="s">
        <v>963</v>
      </c>
      <c r="J168" s="158" t="s">
        <v>963</v>
      </c>
      <c r="K168" s="158" t="s">
        <v>372</v>
      </c>
      <c r="L168" s="158" t="s">
        <v>373</v>
      </c>
      <c r="M168" s="158" t="s">
        <v>374</v>
      </c>
      <c r="N168" s="158" t="s">
        <v>28</v>
      </c>
      <c r="O168" s="158" t="s">
        <v>375</v>
      </c>
      <c r="P168" s="158" t="s">
        <v>964</v>
      </c>
    </row>
    <row r="169" spans="1:16" x14ac:dyDescent="0.25">
      <c r="A169" s="155" t="s">
        <v>965</v>
      </c>
      <c r="B169" s="155" t="s">
        <v>523</v>
      </c>
      <c r="C169" s="155" t="s">
        <v>966</v>
      </c>
      <c r="D169" s="155" t="s">
        <v>959</v>
      </c>
      <c r="E169" s="155" t="s">
        <v>525</v>
      </c>
      <c r="F169" s="155" t="s">
        <v>526</v>
      </c>
      <c r="G169" s="158" t="s">
        <v>967</v>
      </c>
      <c r="H169" s="158" t="s">
        <v>968</v>
      </c>
      <c r="I169" s="158" t="s">
        <v>969</v>
      </c>
      <c r="J169" s="158" t="s">
        <v>969</v>
      </c>
      <c r="K169" s="158" t="s">
        <v>220</v>
      </c>
      <c r="L169" s="158" t="s">
        <v>26</v>
      </c>
      <c r="M169" s="158" t="s">
        <v>221</v>
      </c>
      <c r="N169" s="158" t="s">
        <v>28</v>
      </c>
      <c r="O169" s="158" t="s">
        <v>222</v>
      </c>
      <c r="P169" s="158" t="s">
        <v>970</v>
      </c>
    </row>
    <row r="170" spans="1:16" x14ac:dyDescent="0.25">
      <c r="A170" s="155" t="s">
        <v>971</v>
      </c>
      <c r="B170" s="155" t="s">
        <v>523</v>
      </c>
      <c r="C170" s="155" t="s">
        <v>972</v>
      </c>
      <c r="D170" s="155" t="s">
        <v>971</v>
      </c>
      <c r="E170" s="155" t="s">
        <v>525</v>
      </c>
      <c r="F170" s="155" t="s">
        <v>526</v>
      </c>
      <c r="G170" s="158" t="s">
        <v>973</v>
      </c>
      <c r="H170" s="158" t="s">
        <v>974</v>
      </c>
      <c r="I170" s="158" t="s">
        <v>975</v>
      </c>
      <c r="J170" s="158" t="s">
        <v>975</v>
      </c>
      <c r="K170" s="158" t="s">
        <v>383</v>
      </c>
      <c r="L170" s="158" t="s">
        <v>26</v>
      </c>
      <c r="M170" s="158" t="s">
        <v>384</v>
      </c>
      <c r="N170" s="158" t="s">
        <v>385</v>
      </c>
      <c r="O170" s="158" t="s">
        <v>386</v>
      </c>
      <c r="P170" s="158" t="s">
        <v>976</v>
      </c>
    </row>
    <row r="171" spans="1:16" x14ac:dyDescent="0.25">
      <c r="A171" s="155" t="s">
        <v>977</v>
      </c>
      <c r="B171" s="155" t="s">
        <v>523</v>
      </c>
      <c r="C171" s="155" t="s">
        <v>978</v>
      </c>
      <c r="D171" s="155" t="s">
        <v>979</v>
      </c>
      <c r="E171" s="155" t="s">
        <v>525</v>
      </c>
      <c r="F171" s="155" t="s">
        <v>526</v>
      </c>
      <c r="G171" s="158" t="s">
        <v>980</v>
      </c>
      <c r="H171" s="158" t="s">
        <v>981</v>
      </c>
      <c r="I171" s="158" t="s">
        <v>982</v>
      </c>
      <c r="J171" s="158" t="s">
        <v>982</v>
      </c>
      <c r="K171" s="158" t="s">
        <v>383</v>
      </c>
      <c r="L171" s="158" t="s">
        <v>26</v>
      </c>
      <c r="M171" s="158" t="s">
        <v>384</v>
      </c>
      <c r="N171" s="158" t="s">
        <v>385</v>
      </c>
      <c r="O171" s="158" t="s">
        <v>386</v>
      </c>
      <c r="P171" s="158" t="s">
        <v>983</v>
      </c>
    </row>
    <row r="172" spans="1:16" x14ac:dyDescent="0.25">
      <c r="A172" s="155" t="s">
        <v>984</v>
      </c>
      <c r="B172" s="155" t="s">
        <v>523</v>
      </c>
      <c r="C172" s="155" t="s">
        <v>985</v>
      </c>
      <c r="D172" s="155" t="s">
        <v>984</v>
      </c>
      <c r="E172" s="155" t="s">
        <v>525</v>
      </c>
      <c r="F172" s="155" t="s">
        <v>526</v>
      </c>
      <c r="G172" s="158" t="s">
        <v>986</v>
      </c>
      <c r="H172" s="158" t="s">
        <v>987</v>
      </c>
      <c r="I172" s="158" t="s">
        <v>988</v>
      </c>
      <c r="J172" s="158" t="s">
        <v>988</v>
      </c>
      <c r="K172" s="158" t="s">
        <v>220</v>
      </c>
      <c r="L172" s="158" t="s">
        <v>26</v>
      </c>
      <c r="M172" s="158" t="s">
        <v>221</v>
      </c>
      <c r="N172" s="158" t="s">
        <v>28</v>
      </c>
      <c r="O172" s="158" t="s">
        <v>222</v>
      </c>
      <c r="P172" s="158" t="s">
        <v>989</v>
      </c>
    </row>
    <row r="173" spans="1:16" x14ac:dyDescent="0.25">
      <c r="A173" s="155" t="s">
        <v>990</v>
      </c>
      <c r="B173" s="155" t="s">
        <v>523</v>
      </c>
      <c r="C173" s="155" t="s">
        <v>991</v>
      </c>
      <c r="D173" s="155" t="s">
        <v>990</v>
      </c>
      <c r="E173" s="155" t="s">
        <v>525</v>
      </c>
      <c r="F173" s="155" t="s">
        <v>526</v>
      </c>
      <c r="G173" s="158" t="s">
        <v>992</v>
      </c>
      <c r="H173" s="158" t="s">
        <v>993</v>
      </c>
      <c r="I173" s="158" t="s">
        <v>994</v>
      </c>
      <c r="J173" s="158" t="s">
        <v>994</v>
      </c>
      <c r="K173" s="158" t="s">
        <v>220</v>
      </c>
      <c r="L173" s="158" t="s">
        <v>26</v>
      </c>
      <c r="M173" s="158" t="s">
        <v>221</v>
      </c>
      <c r="N173" s="158" t="s">
        <v>28</v>
      </c>
      <c r="O173" s="158" t="s">
        <v>222</v>
      </c>
      <c r="P173" s="158" t="s">
        <v>995</v>
      </c>
    </row>
    <row r="174" spans="1:16" x14ac:dyDescent="0.25">
      <c r="A174" s="155" t="s">
        <v>996</v>
      </c>
      <c r="B174" s="155" t="s">
        <v>523</v>
      </c>
      <c r="C174" s="155" t="s">
        <v>997</v>
      </c>
      <c r="D174" s="155" t="s">
        <v>996</v>
      </c>
      <c r="E174" s="155" t="s">
        <v>525</v>
      </c>
      <c r="F174" s="155" t="s">
        <v>526</v>
      </c>
      <c r="G174" s="158" t="s">
        <v>998</v>
      </c>
      <c r="H174" s="158" t="s">
        <v>999</v>
      </c>
      <c r="I174" s="158" t="s">
        <v>1000</v>
      </c>
      <c r="J174" s="158" t="s">
        <v>1000</v>
      </c>
      <c r="K174" s="158" t="s">
        <v>220</v>
      </c>
      <c r="L174" s="158" t="s">
        <v>26</v>
      </c>
      <c r="M174" s="158" t="s">
        <v>221</v>
      </c>
      <c r="N174" s="158" t="s">
        <v>28</v>
      </c>
      <c r="O174" s="158" t="s">
        <v>222</v>
      </c>
      <c r="P174" s="158" t="s">
        <v>1001</v>
      </c>
    </row>
    <row r="175" spans="1:16" x14ac:dyDescent="0.25">
      <c r="A175" s="155" t="s">
        <v>1002</v>
      </c>
      <c r="B175" s="155" t="s">
        <v>523</v>
      </c>
      <c r="C175" s="155" t="s">
        <v>1003</v>
      </c>
      <c r="D175" s="155" t="s">
        <v>1002</v>
      </c>
      <c r="E175" s="155" t="s">
        <v>525</v>
      </c>
      <c r="F175" s="155" t="s">
        <v>526</v>
      </c>
      <c r="G175" s="158" t="s">
        <v>1004</v>
      </c>
      <c r="H175" s="158" t="s">
        <v>1005</v>
      </c>
      <c r="I175" s="158" t="s">
        <v>1006</v>
      </c>
      <c r="J175" s="158" t="s">
        <v>1006</v>
      </c>
      <c r="K175" s="158" t="s">
        <v>220</v>
      </c>
      <c r="L175" s="158" t="s">
        <v>26</v>
      </c>
      <c r="M175" s="158" t="s">
        <v>221</v>
      </c>
      <c r="N175" s="158" t="s">
        <v>28</v>
      </c>
      <c r="O175" s="158" t="s">
        <v>222</v>
      </c>
      <c r="P175" s="158" t="s">
        <v>1007</v>
      </c>
    </row>
    <row r="176" spans="1:16" x14ac:dyDescent="0.25">
      <c r="A176" s="155" t="s">
        <v>1008</v>
      </c>
      <c r="B176" s="155" t="s">
        <v>523</v>
      </c>
      <c r="C176" s="155" t="s">
        <v>1009</v>
      </c>
      <c r="D176" s="155" t="s">
        <v>1008</v>
      </c>
      <c r="E176" s="155" t="s">
        <v>525</v>
      </c>
      <c r="F176" s="155" t="s">
        <v>526</v>
      </c>
      <c r="G176" s="158" t="s">
        <v>1010</v>
      </c>
      <c r="H176" s="158" t="s">
        <v>1011</v>
      </c>
      <c r="I176" s="158" t="s">
        <v>1012</v>
      </c>
      <c r="J176" s="158" t="s">
        <v>264</v>
      </c>
      <c r="K176" s="158" t="s">
        <v>220</v>
      </c>
      <c r="L176" s="158" t="s">
        <v>26</v>
      </c>
      <c r="M176" s="158" t="s">
        <v>221</v>
      </c>
      <c r="N176" s="158" t="s">
        <v>28</v>
      </c>
      <c r="O176" s="158" t="s">
        <v>222</v>
      </c>
      <c r="P176" s="158" t="s">
        <v>1013</v>
      </c>
    </row>
    <row r="177" spans="1:16" x14ac:dyDescent="0.25">
      <c r="A177" s="155" t="s">
        <v>1014</v>
      </c>
      <c r="B177" s="155" t="s">
        <v>523</v>
      </c>
      <c r="C177" s="155" t="s">
        <v>1015</v>
      </c>
      <c r="D177" s="155" t="s">
        <v>1015</v>
      </c>
      <c r="E177" s="155" t="s">
        <v>1015</v>
      </c>
      <c r="F177" s="155" t="s">
        <v>1015</v>
      </c>
      <c r="G177" s="158" t="s">
        <v>1016</v>
      </c>
      <c r="H177" s="158" t="s">
        <v>1017</v>
      </c>
      <c r="I177" s="158" t="s">
        <v>1018</v>
      </c>
      <c r="J177" s="158" t="s">
        <v>1018</v>
      </c>
      <c r="K177" s="158" t="s">
        <v>1019</v>
      </c>
      <c r="L177" s="158" t="s">
        <v>26</v>
      </c>
      <c r="M177" s="158" t="s">
        <v>1020</v>
      </c>
      <c r="N177" s="158" t="s">
        <v>28</v>
      </c>
      <c r="O177" s="158" t="s">
        <v>1021</v>
      </c>
      <c r="P177" s="158" t="s">
        <v>1022</v>
      </c>
    </row>
    <row r="178" spans="1:16" x14ac:dyDescent="0.25">
      <c r="A178" s="155" t="s">
        <v>1023</v>
      </c>
      <c r="B178" s="155" t="s">
        <v>523</v>
      </c>
      <c r="C178" s="155" t="s">
        <v>1015</v>
      </c>
      <c r="D178" s="155" t="s">
        <v>1015</v>
      </c>
      <c r="E178" s="155" t="s">
        <v>1015</v>
      </c>
      <c r="F178" s="155" t="s">
        <v>1015</v>
      </c>
      <c r="G178" s="158" t="s">
        <v>1024</v>
      </c>
      <c r="H178" s="158" t="s">
        <v>1025</v>
      </c>
      <c r="I178" s="158" t="s">
        <v>1026</v>
      </c>
      <c r="J178" s="158" t="s">
        <v>1026</v>
      </c>
      <c r="K178" s="158" t="s">
        <v>1019</v>
      </c>
      <c r="L178" s="158" t="s">
        <v>26</v>
      </c>
      <c r="M178" s="158" t="s">
        <v>1020</v>
      </c>
      <c r="N178" s="158" t="s">
        <v>28</v>
      </c>
      <c r="O178" s="158" t="s">
        <v>1021</v>
      </c>
      <c r="P178" s="158" t="s">
        <v>1027</v>
      </c>
    </row>
    <row r="179" spans="1:16" x14ac:dyDescent="0.25">
      <c r="A179" s="155" t="s">
        <v>1028</v>
      </c>
      <c r="B179" s="155" t="s">
        <v>523</v>
      </c>
      <c r="C179" s="155" t="s">
        <v>1015</v>
      </c>
      <c r="D179" s="155" t="s">
        <v>1015</v>
      </c>
      <c r="E179" s="155" t="s">
        <v>1015</v>
      </c>
      <c r="F179" s="155" t="s">
        <v>1015</v>
      </c>
      <c r="G179" s="158" t="s">
        <v>1029</v>
      </c>
      <c r="H179" s="158" t="s">
        <v>1030</v>
      </c>
      <c r="I179" s="158" t="s">
        <v>1031</v>
      </c>
      <c r="J179" s="158" t="s">
        <v>1031</v>
      </c>
      <c r="K179" s="158" t="s">
        <v>1019</v>
      </c>
      <c r="L179" s="158" t="s">
        <v>26</v>
      </c>
      <c r="M179" s="158" t="s">
        <v>1020</v>
      </c>
      <c r="N179" s="158" t="s">
        <v>28</v>
      </c>
      <c r="O179" s="158" t="s">
        <v>1021</v>
      </c>
      <c r="P179" s="158" t="s">
        <v>1032</v>
      </c>
    </row>
    <row r="180" spans="1:16" x14ac:dyDescent="0.25">
      <c r="A180" s="155" t="s">
        <v>1033</v>
      </c>
      <c r="B180" s="155" t="s">
        <v>523</v>
      </c>
      <c r="C180" s="155" t="s">
        <v>1015</v>
      </c>
      <c r="D180" s="155" t="s">
        <v>1015</v>
      </c>
      <c r="E180" s="155" t="s">
        <v>1015</v>
      </c>
      <c r="F180" s="155" t="s">
        <v>1015</v>
      </c>
      <c r="G180" s="158" t="s">
        <v>1034</v>
      </c>
      <c r="H180" s="158" t="s">
        <v>1035</v>
      </c>
      <c r="I180" s="158" t="s">
        <v>1036</v>
      </c>
      <c r="J180" s="158" t="s">
        <v>1036</v>
      </c>
      <c r="K180" s="158" t="s">
        <v>1019</v>
      </c>
      <c r="L180" s="158" t="s">
        <v>26</v>
      </c>
      <c r="M180" s="158" t="s">
        <v>1020</v>
      </c>
      <c r="N180" s="158" t="s">
        <v>28</v>
      </c>
      <c r="O180" s="158" t="s">
        <v>1021</v>
      </c>
      <c r="P180" s="158" t="s">
        <v>1037</v>
      </c>
    </row>
    <row r="181" spans="1:16" x14ac:dyDescent="0.25">
      <c r="A181" s="155" t="s">
        <v>1038</v>
      </c>
      <c r="B181" s="155" t="s">
        <v>523</v>
      </c>
      <c r="C181" s="155" t="s">
        <v>1039</v>
      </c>
      <c r="D181" s="155" t="s">
        <v>1040</v>
      </c>
      <c r="E181" s="155" t="s">
        <v>525</v>
      </c>
      <c r="F181" s="155" t="s">
        <v>526</v>
      </c>
      <c r="G181" s="158" t="s">
        <v>1041</v>
      </c>
      <c r="H181" s="158" t="s">
        <v>1042</v>
      </c>
      <c r="I181" s="158" t="s">
        <v>1043</v>
      </c>
      <c r="J181" s="158" t="s">
        <v>1043</v>
      </c>
      <c r="K181" s="158" t="s">
        <v>71</v>
      </c>
      <c r="L181" s="158" t="s">
        <v>26</v>
      </c>
      <c r="M181" s="158" t="s">
        <v>72</v>
      </c>
      <c r="N181" s="158" t="s">
        <v>28</v>
      </c>
      <c r="O181" s="158" t="s">
        <v>29</v>
      </c>
      <c r="P181" s="158" t="s">
        <v>1044</v>
      </c>
    </row>
    <row r="182" spans="1:16" x14ac:dyDescent="0.25">
      <c r="A182" s="155" t="s">
        <v>979</v>
      </c>
      <c r="B182" s="155" t="s">
        <v>523</v>
      </c>
      <c r="C182" s="155" t="s">
        <v>1039</v>
      </c>
      <c r="D182" s="155" t="s">
        <v>1040</v>
      </c>
      <c r="E182" s="155" t="s">
        <v>525</v>
      </c>
      <c r="F182" s="155" t="s">
        <v>526</v>
      </c>
      <c r="G182" s="158" t="s">
        <v>1045</v>
      </c>
      <c r="H182" s="158" t="s">
        <v>1046</v>
      </c>
      <c r="I182" s="158" t="s">
        <v>1047</v>
      </c>
      <c r="J182" s="158" t="s">
        <v>1047</v>
      </c>
      <c r="K182" s="158" t="s">
        <v>156</v>
      </c>
      <c r="L182" s="158" t="s">
        <v>26</v>
      </c>
      <c r="M182" s="158" t="s">
        <v>157</v>
      </c>
      <c r="N182" s="158" t="s">
        <v>28</v>
      </c>
      <c r="O182" s="158" t="s">
        <v>29</v>
      </c>
      <c r="P182" s="158" t="s">
        <v>1048</v>
      </c>
    </row>
    <row r="183" spans="1:16" x14ac:dyDescent="0.25">
      <c r="A183" s="155" t="s">
        <v>1049</v>
      </c>
      <c r="B183" s="155" t="s">
        <v>523</v>
      </c>
      <c r="C183" s="155" t="s">
        <v>1039</v>
      </c>
      <c r="D183" s="155" t="s">
        <v>1040</v>
      </c>
      <c r="E183" s="155" t="s">
        <v>525</v>
      </c>
      <c r="F183" s="155" t="s">
        <v>526</v>
      </c>
      <c r="G183" s="158" t="s">
        <v>1050</v>
      </c>
      <c r="H183" s="158" t="s">
        <v>1051</v>
      </c>
      <c r="I183" s="158" t="s">
        <v>1052</v>
      </c>
      <c r="J183" s="158" t="s">
        <v>1052</v>
      </c>
      <c r="K183" s="158" t="s">
        <v>45</v>
      </c>
      <c r="L183" s="158" t="s">
        <v>26</v>
      </c>
      <c r="M183" s="158" t="s">
        <v>46</v>
      </c>
      <c r="N183" s="158" t="s">
        <v>28</v>
      </c>
      <c r="O183" s="158" t="s">
        <v>29</v>
      </c>
      <c r="P183" s="158" t="s">
        <v>1053</v>
      </c>
    </row>
    <row r="184" spans="1:16" x14ac:dyDescent="0.25">
      <c r="A184" s="155" t="s">
        <v>1054</v>
      </c>
      <c r="B184" s="155" t="s">
        <v>523</v>
      </c>
      <c r="C184" s="155" t="s">
        <v>1039</v>
      </c>
      <c r="D184" s="155" t="s">
        <v>1040</v>
      </c>
      <c r="E184" s="155" t="s">
        <v>525</v>
      </c>
      <c r="F184" s="155" t="s">
        <v>526</v>
      </c>
      <c r="G184" s="158" t="s">
        <v>1055</v>
      </c>
      <c r="H184" s="158" t="s">
        <v>1056</v>
      </c>
      <c r="I184" s="158" t="s">
        <v>1057</v>
      </c>
      <c r="J184" s="158" t="s">
        <v>1057</v>
      </c>
      <c r="K184" s="158" t="s">
        <v>156</v>
      </c>
      <c r="L184" s="158" t="s">
        <v>26</v>
      </c>
      <c r="M184" s="158" t="s">
        <v>157</v>
      </c>
      <c r="N184" s="158" t="s">
        <v>28</v>
      </c>
      <c r="O184" s="158" t="s">
        <v>29</v>
      </c>
      <c r="P184" s="158" t="s">
        <v>1058</v>
      </c>
    </row>
    <row r="185" spans="1:16" x14ac:dyDescent="0.25">
      <c r="A185" s="155" t="s">
        <v>1059</v>
      </c>
      <c r="B185" s="155" t="s">
        <v>523</v>
      </c>
      <c r="C185" s="155" t="s">
        <v>1039</v>
      </c>
      <c r="D185" s="155" t="s">
        <v>1040</v>
      </c>
      <c r="E185" s="155" t="s">
        <v>525</v>
      </c>
      <c r="F185" s="155" t="s">
        <v>526</v>
      </c>
      <c r="G185" s="158" t="s">
        <v>1060</v>
      </c>
      <c r="H185" s="158" t="s">
        <v>1061</v>
      </c>
      <c r="I185" s="158" t="s">
        <v>1062</v>
      </c>
      <c r="J185" s="158" t="s">
        <v>1062</v>
      </c>
      <c r="K185" s="158" t="s">
        <v>37</v>
      </c>
      <c r="L185" s="158" t="s">
        <v>26</v>
      </c>
      <c r="M185" s="158" t="s">
        <v>38</v>
      </c>
      <c r="N185" s="158" t="s">
        <v>28</v>
      </c>
      <c r="O185" s="158" t="s">
        <v>39</v>
      </c>
      <c r="P185" s="158" t="s">
        <v>1063</v>
      </c>
    </row>
    <row r="186" spans="1:16" x14ac:dyDescent="0.25">
      <c r="A186" s="155" t="s">
        <v>1064</v>
      </c>
      <c r="B186" s="155" t="s">
        <v>523</v>
      </c>
      <c r="C186" s="155" t="s">
        <v>1039</v>
      </c>
      <c r="D186" s="155" t="s">
        <v>1040</v>
      </c>
      <c r="E186" s="155" t="s">
        <v>525</v>
      </c>
      <c r="F186" s="155" t="s">
        <v>526</v>
      </c>
      <c r="G186" s="158" t="s">
        <v>1065</v>
      </c>
      <c r="H186" s="158" t="s">
        <v>1066</v>
      </c>
      <c r="I186" s="158" t="s">
        <v>1067</v>
      </c>
      <c r="J186" s="158" t="s">
        <v>1067</v>
      </c>
      <c r="K186" s="158" t="s">
        <v>37</v>
      </c>
      <c r="L186" s="158" t="s">
        <v>26</v>
      </c>
      <c r="M186" s="158" t="s">
        <v>38</v>
      </c>
      <c r="N186" s="158" t="s">
        <v>28</v>
      </c>
      <c r="O186" s="158" t="s">
        <v>39</v>
      </c>
      <c r="P186" s="158" t="s">
        <v>1068</v>
      </c>
    </row>
    <row r="187" spans="1:16" x14ac:dyDescent="0.25">
      <c r="A187" s="155" t="s">
        <v>1069</v>
      </c>
      <c r="B187" s="155" t="s">
        <v>523</v>
      </c>
      <c r="C187" s="155" t="s">
        <v>1039</v>
      </c>
      <c r="D187" s="155" t="s">
        <v>1040</v>
      </c>
      <c r="E187" s="155" t="s">
        <v>525</v>
      </c>
      <c r="F187" s="155" t="s">
        <v>526</v>
      </c>
      <c r="G187" s="158" t="s">
        <v>1070</v>
      </c>
      <c r="H187" s="158" t="s">
        <v>1071</v>
      </c>
      <c r="I187" s="158" t="s">
        <v>1072</v>
      </c>
      <c r="J187" s="158" t="s">
        <v>1072</v>
      </c>
      <c r="K187" s="158" t="s">
        <v>71</v>
      </c>
      <c r="L187" s="158" t="s">
        <v>26</v>
      </c>
      <c r="M187" s="158" t="s">
        <v>72</v>
      </c>
      <c r="N187" s="158" t="s">
        <v>28</v>
      </c>
      <c r="O187" s="158" t="s">
        <v>29</v>
      </c>
      <c r="P187" s="158" t="s">
        <v>1073</v>
      </c>
    </row>
    <row r="188" spans="1:16" x14ac:dyDescent="0.25">
      <c r="A188" s="155" t="s">
        <v>1040</v>
      </c>
      <c r="B188" s="155" t="s">
        <v>523</v>
      </c>
      <c r="C188" s="155" t="s">
        <v>1039</v>
      </c>
      <c r="D188" s="155" t="s">
        <v>1040</v>
      </c>
      <c r="E188" s="155" t="s">
        <v>525</v>
      </c>
      <c r="F188" s="155" t="s">
        <v>526</v>
      </c>
      <c r="G188" s="158" t="s">
        <v>1074</v>
      </c>
      <c r="H188" s="158" t="s">
        <v>1075</v>
      </c>
      <c r="I188" s="158" t="s">
        <v>1076</v>
      </c>
      <c r="J188" s="158" t="s">
        <v>1076</v>
      </c>
      <c r="K188" s="158" t="s">
        <v>71</v>
      </c>
      <c r="L188" s="158" t="s">
        <v>26</v>
      </c>
      <c r="M188" s="158" t="s">
        <v>72</v>
      </c>
      <c r="N188" s="158" t="s">
        <v>28</v>
      </c>
      <c r="O188" s="158" t="s">
        <v>29</v>
      </c>
      <c r="P188" s="158" t="s">
        <v>1077</v>
      </c>
    </row>
    <row r="189" spans="1:16" x14ac:dyDescent="0.25">
      <c r="A189" s="155" t="s">
        <v>1078</v>
      </c>
      <c r="B189" s="155" t="s">
        <v>523</v>
      </c>
      <c r="C189" s="155" t="s">
        <v>1039</v>
      </c>
      <c r="D189" s="155" t="s">
        <v>1040</v>
      </c>
      <c r="E189" s="155" t="s">
        <v>525</v>
      </c>
      <c r="F189" s="155" t="s">
        <v>526</v>
      </c>
      <c r="G189" s="158" t="s">
        <v>1079</v>
      </c>
      <c r="H189" s="158" t="s">
        <v>1080</v>
      </c>
      <c r="I189" s="158" t="s">
        <v>1081</v>
      </c>
      <c r="J189" s="158" t="s">
        <v>1081</v>
      </c>
      <c r="K189" s="158" t="s">
        <v>71</v>
      </c>
      <c r="L189" s="158" t="s">
        <v>26</v>
      </c>
      <c r="M189" s="158" t="s">
        <v>72</v>
      </c>
      <c r="N189" s="158" t="s">
        <v>28</v>
      </c>
      <c r="O189" s="158" t="s">
        <v>29</v>
      </c>
      <c r="P189" s="158" t="s">
        <v>1082</v>
      </c>
    </row>
    <row r="190" spans="1:16" x14ac:dyDescent="0.25">
      <c r="A190" s="155" t="s">
        <v>1083</v>
      </c>
      <c r="B190" s="155" t="s">
        <v>523</v>
      </c>
      <c r="C190" s="155" t="s">
        <v>1039</v>
      </c>
      <c r="D190" s="155" t="s">
        <v>1040</v>
      </c>
      <c r="E190" s="155" t="s">
        <v>525</v>
      </c>
      <c r="F190" s="155" t="s">
        <v>526</v>
      </c>
      <c r="G190" s="158" t="s">
        <v>1084</v>
      </c>
      <c r="H190" s="158" t="s">
        <v>1085</v>
      </c>
      <c r="I190" s="158" t="s">
        <v>1086</v>
      </c>
      <c r="J190" s="158" t="s">
        <v>1086</v>
      </c>
      <c r="K190" s="158" t="s">
        <v>71</v>
      </c>
      <c r="L190" s="158" t="s">
        <v>26</v>
      </c>
      <c r="M190" s="158" t="s">
        <v>72</v>
      </c>
      <c r="N190" s="158" t="s">
        <v>28</v>
      </c>
      <c r="O190" s="158" t="s">
        <v>29</v>
      </c>
      <c r="P190" s="158" t="s">
        <v>1087</v>
      </c>
    </row>
    <row r="191" spans="1:16" x14ac:dyDescent="0.25">
      <c r="A191" s="155" t="s">
        <v>1088</v>
      </c>
      <c r="B191" s="155" t="s">
        <v>523</v>
      </c>
      <c r="C191" s="155" t="s">
        <v>1039</v>
      </c>
      <c r="D191" s="155" t="s">
        <v>1040</v>
      </c>
      <c r="E191" s="155" t="s">
        <v>525</v>
      </c>
      <c r="F191" s="155" t="s">
        <v>526</v>
      </c>
      <c r="G191" s="158" t="s">
        <v>1089</v>
      </c>
      <c r="H191" s="158" t="s">
        <v>1090</v>
      </c>
      <c r="I191" s="158" t="s">
        <v>1091</v>
      </c>
      <c r="J191" s="158" t="s">
        <v>1091</v>
      </c>
      <c r="K191" s="158" t="s">
        <v>71</v>
      </c>
      <c r="L191" s="158" t="s">
        <v>26</v>
      </c>
      <c r="M191" s="158" t="s">
        <v>72</v>
      </c>
      <c r="N191" s="158" t="s">
        <v>28</v>
      </c>
      <c r="O191" s="158" t="s">
        <v>29</v>
      </c>
      <c r="P191" s="158" t="s">
        <v>1092</v>
      </c>
    </row>
    <row r="192" spans="1:16" x14ac:dyDescent="0.25">
      <c r="A192" s="155" t="s">
        <v>1093</v>
      </c>
      <c r="B192" s="155" t="s">
        <v>523</v>
      </c>
      <c r="C192" s="155" t="s">
        <v>1039</v>
      </c>
      <c r="D192" s="155" t="s">
        <v>1040</v>
      </c>
      <c r="E192" s="155" t="s">
        <v>525</v>
      </c>
      <c r="F192" s="155" t="s">
        <v>526</v>
      </c>
      <c r="G192" s="158" t="s">
        <v>1094</v>
      </c>
      <c r="H192" s="158" t="s">
        <v>1095</v>
      </c>
      <c r="I192" s="158" t="s">
        <v>1096</v>
      </c>
      <c r="J192" s="158" t="s">
        <v>1096</v>
      </c>
      <c r="K192" s="158" t="s">
        <v>71</v>
      </c>
      <c r="L192" s="158" t="s">
        <v>26</v>
      </c>
      <c r="M192" s="158" t="s">
        <v>72</v>
      </c>
      <c r="N192" s="158" t="s">
        <v>28</v>
      </c>
      <c r="O192" s="158" t="s">
        <v>29</v>
      </c>
      <c r="P192" s="158" t="s">
        <v>1097</v>
      </c>
    </row>
    <row r="193" spans="1:16" x14ac:dyDescent="0.25">
      <c r="A193" s="155" t="s">
        <v>1098</v>
      </c>
      <c r="B193" s="155" t="s">
        <v>523</v>
      </c>
      <c r="C193" s="155" t="s">
        <v>1039</v>
      </c>
      <c r="D193" s="155" t="s">
        <v>1040</v>
      </c>
      <c r="E193" s="155" t="s">
        <v>525</v>
      </c>
      <c r="F193" s="155" t="s">
        <v>526</v>
      </c>
      <c r="G193" s="158" t="s">
        <v>1099</v>
      </c>
      <c r="H193" s="158" t="s">
        <v>1100</v>
      </c>
      <c r="I193" s="158" t="s">
        <v>1101</v>
      </c>
      <c r="J193" s="158" t="s">
        <v>1101</v>
      </c>
      <c r="K193" s="158" t="s">
        <v>71</v>
      </c>
      <c r="L193" s="158" t="s">
        <v>26</v>
      </c>
      <c r="M193" s="158" t="s">
        <v>72</v>
      </c>
      <c r="N193" s="158" t="s">
        <v>28</v>
      </c>
      <c r="O193" s="158" t="s">
        <v>29</v>
      </c>
      <c r="P193" s="158" t="s">
        <v>1102</v>
      </c>
    </row>
    <row r="194" spans="1:16" x14ac:dyDescent="0.25">
      <c r="A194" s="155" t="s">
        <v>1103</v>
      </c>
      <c r="B194" s="155" t="s">
        <v>523</v>
      </c>
      <c r="C194" s="155" t="s">
        <v>1104</v>
      </c>
      <c r="D194" s="155" t="s">
        <v>1105</v>
      </c>
      <c r="E194" s="155" t="s">
        <v>525</v>
      </c>
      <c r="F194" s="155" t="s">
        <v>526</v>
      </c>
      <c r="G194" s="158" t="s">
        <v>1106</v>
      </c>
      <c r="H194" s="158" t="s">
        <v>1107</v>
      </c>
      <c r="I194" s="158" t="s">
        <v>1108</v>
      </c>
      <c r="J194" s="158" t="s">
        <v>1108</v>
      </c>
      <c r="K194" s="158" t="s">
        <v>83</v>
      </c>
      <c r="L194" s="158" t="s">
        <v>26</v>
      </c>
      <c r="M194" s="158" t="s">
        <v>84</v>
      </c>
      <c r="N194" s="158" t="s">
        <v>28</v>
      </c>
      <c r="O194" s="158" t="s">
        <v>29</v>
      </c>
      <c r="P194" s="158" t="s">
        <v>1109</v>
      </c>
    </row>
    <row r="195" spans="1:16" x14ac:dyDescent="0.25">
      <c r="A195" s="155" t="s">
        <v>1105</v>
      </c>
      <c r="B195" s="155" t="s">
        <v>523</v>
      </c>
      <c r="C195" s="155" t="s">
        <v>1104</v>
      </c>
      <c r="D195" s="155" t="s">
        <v>1105</v>
      </c>
      <c r="E195" s="155" t="s">
        <v>525</v>
      </c>
      <c r="F195" s="155" t="s">
        <v>526</v>
      </c>
      <c r="G195" s="158" t="s">
        <v>1110</v>
      </c>
      <c r="H195" s="158" t="s">
        <v>1111</v>
      </c>
      <c r="I195" s="158" t="s">
        <v>1112</v>
      </c>
      <c r="J195" s="158" t="s">
        <v>1112</v>
      </c>
      <c r="K195" s="158" t="s">
        <v>71</v>
      </c>
      <c r="L195" s="158" t="s">
        <v>26</v>
      </c>
      <c r="M195" s="158" t="s">
        <v>72</v>
      </c>
      <c r="N195" s="158" t="s">
        <v>28</v>
      </c>
      <c r="O195" s="158" t="s">
        <v>29</v>
      </c>
      <c r="P195" s="158" t="s">
        <v>1113</v>
      </c>
    </row>
    <row r="196" spans="1:16" x14ac:dyDescent="0.25">
      <c r="A196" s="155" t="s">
        <v>1114</v>
      </c>
      <c r="B196" s="155" t="s">
        <v>1115</v>
      </c>
      <c r="C196" s="155" t="s">
        <v>1116</v>
      </c>
      <c r="D196" s="155" t="s">
        <v>1114</v>
      </c>
      <c r="E196" s="155" t="s">
        <v>1117</v>
      </c>
      <c r="F196" s="155" t="s">
        <v>1118</v>
      </c>
      <c r="G196" s="158" t="s">
        <v>1119</v>
      </c>
      <c r="H196" s="158" t="s">
        <v>1120</v>
      </c>
      <c r="I196" s="158" t="s">
        <v>1121</v>
      </c>
      <c r="J196" s="158" t="s">
        <v>1121</v>
      </c>
      <c r="K196" s="158" t="s">
        <v>25</v>
      </c>
      <c r="L196" s="158" t="s">
        <v>26</v>
      </c>
      <c r="M196" s="158" t="s">
        <v>27</v>
      </c>
      <c r="N196" s="158" t="s">
        <v>28</v>
      </c>
      <c r="O196" s="158" t="s">
        <v>29</v>
      </c>
      <c r="P196" s="158" t="s">
        <v>1122</v>
      </c>
    </row>
    <row r="197" spans="1:16" x14ac:dyDescent="0.25">
      <c r="A197" s="155" t="s">
        <v>1123</v>
      </c>
      <c r="B197" s="155" t="s">
        <v>1115</v>
      </c>
      <c r="C197" s="155" t="s">
        <v>1124</v>
      </c>
      <c r="D197" s="155" t="s">
        <v>1125</v>
      </c>
      <c r="E197" s="155" t="s">
        <v>1117</v>
      </c>
      <c r="F197" s="155" t="s">
        <v>1118</v>
      </c>
      <c r="G197" s="158" t="s">
        <v>1126</v>
      </c>
      <c r="H197" s="158" t="s">
        <v>1127</v>
      </c>
      <c r="I197" s="158" t="s">
        <v>1128</v>
      </c>
      <c r="J197" s="158" t="s">
        <v>1128</v>
      </c>
      <c r="K197" s="158" t="s">
        <v>25</v>
      </c>
      <c r="L197" s="158" t="s">
        <v>26</v>
      </c>
      <c r="M197" s="158" t="s">
        <v>27</v>
      </c>
      <c r="N197" s="158" t="s">
        <v>28</v>
      </c>
      <c r="O197" s="158" t="s">
        <v>29</v>
      </c>
      <c r="P197" s="158" t="s">
        <v>1129</v>
      </c>
    </row>
    <row r="198" spans="1:16" x14ac:dyDescent="0.25">
      <c r="A198" s="155" t="s">
        <v>1130</v>
      </c>
      <c r="B198" s="155" t="s">
        <v>1115</v>
      </c>
      <c r="C198" s="155" t="s">
        <v>1131</v>
      </c>
      <c r="D198" s="155" t="s">
        <v>1130</v>
      </c>
      <c r="E198" s="155" t="s">
        <v>1117</v>
      </c>
      <c r="F198" s="155" t="s">
        <v>1118</v>
      </c>
      <c r="G198" s="158" t="s">
        <v>1132</v>
      </c>
      <c r="H198" s="158" t="s">
        <v>1133</v>
      </c>
      <c r="I198" s="158" t="s">
        <v>1134</v>
      </c>
      <c r="J198" s="158" t="s">
        <v>1134</v>
      </c>
      <c r="K198" s="158" t="s">
        <v>25</v>
      </c>
      <c r="L198" s="158" t="s">
        <v>26</v>
      </c>
      <c r="M198" s="158" t="s">
        <v>27</v>
      </c>
      <c r="N198" s="158" t="s">
        <v>28</v>
      </c>
      <c r="O198" s="158" t="s">
        <v>29</v>
      </c>
      <c r="P198" s="158" t="s">
        <v>1135</v>
      </c>
    </row>
    <row r="199" spans="1:16" x14ac:dyDescent="0.25">
      <c r="A199" s="155" t="s">
        <v>1136</v>
      </c>
      <c r="B199" s="155" t="s">
        <v>1115</v>
      </c>
      <c r="C199" s="155" t="s">
        <v>1137</v>
      </c>
      <c r="D199" s="155" t="s">
        <v>1136</v>
      </c>
      <c r="E199" s="155" t="s">
        <v>1117</v>
      </c>
      <c r="F199" s="155" t="s">
        <v>1118</v>
      </c>
      <c r="G199" s="158" t="s">
        <v>1138</v>
      </c>
      <c r="H199" s="158" t="s">
        <v>1139</v>
      </c>
      <c r="I199" s="158" t="s">
        <v>1140</v>
      </c>
      <c r="J199" s="158" t="s">
        <v>1140</v>
      </c>
      <c r="K199" s="158" t="s">
        <v>25</v>
      </c>
      <c r="L199" s="158" t="s">
        <v>26</v>
      </c>
      <c r="M199" s="158" t="s">
        <v>27</v>
      </c>
      <c r="N199" s="158" t="s">
        <v>28</v>
      </c>
      <c r="O199" s="158" t="s">
        <v>29</v>
      </c>
      <c r="P199" s="158" t="s">
        <v>1141</v>
      </c>
    </row>
    <row r="200" spans="1:16" x14ac:dyDescent="0.25">
      <c r="A200" s="155" t="s">
        <v>1142</v>
      </c>
      <c r="B200" s="155" t="s">
        <v>1115</v>
      </c>
      <c r="C200" s="155" t="s">
        <v>1143</v>
      </c>
      <c r="D200" s="155" t="s">
        <v>1144</v>
      </c>
      <c r="E200" s="155" t="s">
        <v>1117</v>
      </c>
      <c r="F200" s="155" t="s">
        <v>1118</v>
      </c>
      <c r="G200" s="158" t="s">
        <v>1145</v>
      </c>
      <c r="H200" s="158" t="s">
        <v>1146</v>
      </c>
      <c r="I200" s="158" t="s">
        <v>1147</v>
      </c>
      <c r="J200" s="158" t="s">
        <v>1147</v>
      </c>
      <c r="K200" s="158" t="s">
        <v>71</v>
      </c>
      <c r="L200" s="158" t="s">
        <v>26</v>
      </c>
      <c r="M200" s="158" t="s">
        <v>72</v>
      </c>
      <c r="N200" s="158" t="s">
        <v>28</v>
      </c>
      <c r="O200" s="158" t="s">
        <v>29</v>
      </c>
      <c r="P200" s="158" t="s">
        <v>1148</v>
      </c>
    </row>
    <row r="201" spans="1:16" x14ac:dyDescent="0.25">
      <c r="A201" s="155" t="s">
        <v>1149</v>
      </c>
      <c r="B201" s="155" t="s">
        <v>1115</v>
      </c>
      <c r="C201" s="155" t="s">
        <v>1150</v>
      </c>
      <c r="D201" s="155" t="s">
        <v>1151</v>
      </c>
      <c r="E201" s="155" t="s">
        <v>1117</v>
      </c>
      <c r="F201" s="155" t="s">
        <v>1118</v>
      </c>
      <c r="G201" s="158" t="s">
        <v>1152</v>
      </c>
      <c r="H201" s="158" t="s">
        <v>1153</v>
      </c>
      <c r="I201" s="158" t="s">
        <v>1154</v>
      </c>
      <c r="J201" s="158" t="s">
        <v>1154</v>
      </c>
      <c r="K201" s="158" t="s">
        <v>37</v>
      </c>
      <c r="L201" s="158" t="s">
        <v>26</v>
      </c>
      <c r="M201" s="158" t="s">
        <v>38</v>
      </c>
      <c r="N201" s="158" t="s">
        <v>28</v>
      </c>
      <c r="O201" s="158" t="s">
        <v>39</v>
      </c>
      <c r="P201" s="158" t="s">
        <v>1155</v>
      </c>
    </row>
    <row r="202" spans="1:16" x14ac:dyDescent="0.25">
      <c r="A202" s="155" t="s">
        <v>1156</v>
      </c>
      <c r="B202" s="155" t="s">
        <v>1115</v>
      </c>
      <c r="C202" s="155" t="s">
        <v>1157</v>
      </c>
      <c r="D202" s="155" t="s">
        <v>1158</v>
      </c>
      <c r="E202" s="155" t="s">
        <v>1117</v>
      </c>
      <c r="F202" s="155" t="s">
        <v>1118</v>
      </c>
      <c r="G202" s="158" t="s">
        <v>1159</v>
      </c>
      <c r="H202" s="158" t="s">
        <v>1160</v>
      </c>
      <c r="I202" s="158" t="s">
        <v>1161</v>
      </c>
      <c r="J202" s="158" t="s">
        <v>1161</v>
      </c>
      <c r="K202" s="158" t="s">
        <v>37</v>
      </c>
      <c r="L202" s="158" t="s">
        <v>26</v>
      </c>
      <c r="M202" s="158" t="s">
        <v>38</v>
      </c>
      <c r="N202" s="158" t="s">
        <v>28</v>
      </c>
      <c r="O202" s="158" t="s">
        <v>39</v>
      </c>
      <c r="P202" s="158" t="s">
        <v>1162</v>
      </c>
    </row>
    <row r="203" spans="1:16" x14ac:dyDescent="0.25">
      <c r="A203" s="155" t="s">
        <v>1163</v>
      </c>
      <c r="B203" s="155" t="s">
        <v>1115</v>
      </c>
      <c r="C203" s="155" t="s">
        <v>1143</v>
      </c>
      <c r="D203" s="155" t="s">
        <v>1144</v>
      </c>
      <c r="E203" s="155" t="s">
        <v>1117</v>
      </c>
      <c r="F203" s="155" t="s">
        <v>1118</v>
      </c>
      <c r="G203" s="158" t="s">
        <v>1164</v>
      </c>
      <c r="H203" s="158" t="s">
        <v>1165</v>
      </c>
      <c r="I203" s="158" t="s">
        <v>1166</v>
      </c>
      <c r="J203" s="158" t="s">
        <v>1166</v>
      </c>
      <c r="K203" s="158" t="s">
        <v>575</v>
      </c>
      <c r="L203" s="158" t="s">
        <v>26</v>
      </c>
      <c r="M203" s="158" t="s">
        <v>576</v>
      </c>
      <c r="N203" s="158" t="s">
        <v>28</v>
      </c>
      <c r="O203" s="158" t="s">
        <v>29</v>
      </c>
      <c r="P203" s="158" t="s">
        <v>1167</v>
      </c>
    </row>
    <row r="204" spans="1:16" x14ac:dyDescent="0.25">
      <c r="A204" s="155" t="s">
        <v>1168</v>
      </c>
      <c r="B204" s="155" t="s">
        <v>1115</v>
      </c>
      <c r="C204" s="155" t="s">
        <v>1150</v>
      </c>
      <c r="D204" s="155" t="s">
        <v>1151</v>
      </c>
      <c r="E204" s="155" t="s">
        <v>1117</v>
      </c>
      <c r="F204" s="155" t="s">
        <v>1118</v>
      </c>
      <c r="G204" s="158" t="s">
        <v>1169</v>
      </c>
      <c r="H204" s="158" t="s">
        <v>1170</v>
      </c>
      <c r="I204" s="158" t="s">
        <v>1171</v>
      </c>
      <c r="J204" s="158" t="s">
        <v>1171</v>
      </c>
      <c r="K204" s="158" t="s">
        <v>575</v>
      </c>
      <c r="L204" s="158" t="s">
        <v>26</v>
      </c>
      <c r="M204" s="158" t="s">
        <v>576</v>
      </c>
      <c r="N204" s="158" t="s">
        <v>28</v>
      </c>
      <c r="O204" s="158" t="s">
        <v>29</v>
      </c>
      <c r="P204" s="158" t="s">
        <v>1172</v>
      </c>
    </row>
    <row r="205" spans="1:16" x14ac:dyDescent="0.25">
      <c r="A205" s="155" t="s">
        <v>1173</v>
      </c>
      <c r="B205" s="155" t="s">
        <v>1115</v>
      </c>
      <c r="C205" s="155" t="s">
        <v>1157</v>
      </c>
      <c r="D205" s="155" t="s">
        <v>1158</v>
      </c>
      <c r="E205" s="155" t="s">
        <v>1117</v>
      </c>
      <c r="F205" s="155" t="s">
        <v>1118</v>
      </c>
      <c r="G205" s="158" t="s">
        <v>1174</v>
      </c>
      <c r="H205" s="158" t="s">
        <v>1175</v>
      </c>
      <c r="I205" s="158" t="s">
        <v>1176</v>
      </c>
      <c r="J205" s="158" t="s">
        <v>1176</v>
      </c>
      <c r="K205" s="158" t="s">
        <v>575</v>
      </c>
      <c r="L205" s="158" t="s">
        <v>26</v>
      </c>
      <c r="M205" s="158" t="s">
        <v>576</v>
      </c>
      <c r="N205" s="158" t="s">
        <v>28</v>
      </c>
      <c r="O205" s="158" t="s">
        <v>29</v>
      </c>
      <c r="P205" s="158" t="s">
        <v>1177</v>
      </c>
    </row>
    <row r="206" spans="1:16" x14ac:dyDescent="0.25">
      <c r="A206" s="155" t="s">
        <v>1178</v>
      </c>
      <c r="B206" s="155" t="s">
        <v>1115</v>
      </c>
      <c r="C206" s="155" t="s">
        <v>1143</v>
      </c>
      <c r="D206" s="155" t="s">
        <v>1144</v>
      </c>
      <c r="E206" s="155" t="s">
        <v>1117</v>
      </c>
      <c r="F206" s="155" t="s">
        <v>1118</v>
      </c>
      <c r="G206" s="158" t="s">
        <v>1179</v>
      </c>
      <c r="H206" s="158" t="s">
        <v>1180</v>
      </c>
      <c r="I206" s="158" t="s">
        <v>1181</v>
      </c>
      <c r="J206" s="158" t="s">
        <v>1181</v>
      </c>
      <c r="K206" s="158" t="s">
        <v>45</v>
      </c>
      <c r="L206" s="158" t="s">
        <v>26</v>
      </c>
      <c r="M206" s="158" t="s">
        <v>46</v>
      </c>
      <c r="N206" s="158" t="s">
        <v>28</v>
      </c>
      <c r="O206" s="158" t="s">
        <v>29</v>
      </c>
      <c r="P206" s="158" t="s">
        <v>1182</v>
      </c>
    </row>
    <row r="207" spans="1:16" x14ac:dyDescent="0.25">
      <c r="A207" s="155" t="s">
        <v>1183</v>
      </c>
      <c r="B207" s="155" t="s">
        <v>1115</v>
      </c>
      <c r="C207" s="155" t="s">
        <v>1150</v>
      </c>
      <c r="D207" s="155" t="s">
        <v>1151</v>
      </c>
      <c r="E207" s="155" t="s">
        <v>1117</v>
      </c>
      <c r="F207" s="155" t="s">
        <v>1118</v>
      </c>
      <c r="G207" s="158" t="s">
        <v>1184</v>
      </c>
      <c r="H207" s="158" t="s">
        <v>1185</v>
      </c>
      <c r="I207" s="158" t="s">
        <v>1186</v>
      </c>
      <c r="J207" s="158" t="s">
        <v>1186</v>
      </c>
      <c r="K207" s="158" t="s">
        <v>71</v>
      </c>
      <c r="L207" s="158" t="s">
        <v>26</v>
      </c>
      <c r="M207" s="158" t="s">
        <v>72</v>
      </c>
      <c r="N207" s="158" t="s">
        <v>28</v>
      </c>
      <c r="O207" s="158" t="s">
        <v>29</v>
      </c>
      <c r="P207" s="158" t="s">
        <v>1187</v>
      </c>
    </row>
    <row r="208" spans="1:16" x14ac:dyDescent="0.25">
      <c r="A208" s="155" t="s">
        <v>1188</v>
      </c>
      <c r="B208" s="155" t="s">
        <v>1115</v>
      </c>
      <c r="C208" s="155" t="s">
        <v>1157</v>
      </c>
      <c r="D208" s="155" t="s">
        <v>1158</v>
      </c>
      <c r="E208" s="155" t="s">
        <v>1117</v>
      </c>
      <c r="F208" s="155" t="s">
        <v>1118</v>
      </c>
      <c r="G208" s="158" t="s">
        <v>1189</v>
      </c>
      <c r="H208" s="158" t="s">
        <v>1190</v>
      </c>
      <c r="I208" s="158" t="s">
        <v>1191</v>
      </c>
      <c r="J208" s="158" t="s">
        <v>1191</v>
      </c>
      <c r="K208" s="158" t="s">
        <v>71</v>
      </c>
      <c r="L208" s="158" t="s">
        <v>26</v>
      </c>
      <c r="M208" s="158" t="s">
        <v>72</v>
      </c>
      <c r="N208" s="158" t="s">
        <v>28</v>
      </c>
      <c r="O208" s="158" t="s">
        <v>29</v>
      </c>
      <c r="P208" s="158" t="s">
        <v>1192</v>
      </c>
    </row>
    <row r="209" spans="1:16" x14ac:dyDescent="0.25">
      <c r="A209" s="155" t="s">
        <v>1193</v>
      </c>
      <c r="B209" s="155" t="s">
        <v>1115</v>
      </c>
      <c r="C209" s="155" t="s">
        <v>1143</v>
      </c>
      <c r="D209" s="155" t="s">
        <v>1144</v>
      </c>
      <c r="E209" s="155" t="s">
        <v>1117</v>
      </c>
      <c r="F209" s="155" t="s">
        <v>1118</v>
      </c>
      <c r="G209" s="158" t="s">
        <v>1194</v>
      </c>
      <c r="H209" s="158" t="s">
        <v>1195</v>
      </c>
      <c r="I209" s="158" t="s">
        <v>1196</v>
      </c>
      <c r="J209" s="158" t="s">
        <v>1196</v>
      </c>
      <c r="K209" s="158" t="s">
        <v>37</v>
      </c>
      <c r="L209" s="158" t="s">
        <v>26</v>
      </c>
      <c r="M209" s="158" t="s">
        <v>38</v>
      </c>
      <c r="N209" s="158" t="s">
        <v>28</v>
      </c>
      <c r="O209" s="158" t="s">
        <v>39</v>
      </c>
      <c r="P209" s="158" t="s">
        <v>1197</v>
      </c>
    </row>
    <row r="210" spans="1:16" x14ac:dyDescent="0.25">
      <c r="A210" s="155" t="s">
        <v>1198</v>
      </c>
      <c r="B210" s="155" t="s">
        <v>1115</v>
      </c>
      <c r="C210" s="155" t="s">
        <v>1143</v>
      </c>
      <c r="D210" s="155" t="s">
        <v>1144</v>
      </c>
      <c r="E210" s="155" t="s">
        <v>1117</v>
      </c>
      <c r="F210" s="155" t="s">
        <v>1118</v>
      </c>
      <c r="G210" s="158" t="s">
        <v>1199</v>
      </c>
      <c r="H210" s="158" t="s">
        <v>1200</v>
      </c>
      <c r="I210" s="158" t="s">
        <v>1201</v>
      </c>
      <c r="J210" s="158" t="s">
        <v>1201</v>
      </c>
      <c r="K210" s="158" t="s">
        <v>37</v>
      </c>
      <c r="L210" s="158" t="s">
        <v>26</v>
      </c>
      <c r="M210" s="158" t="s">
        <v>38</v>
      </c>
      <c r="N210" s="158" t="s">
        <v>28</v>
      </c>
      <c r="O210" s="158" t="s">
        <v>39</v>
      </c>
      <c r="P210" s="158" t="s">
        <v>1202</v>
      </c>
    </row>
    <row r="211" spans="1:16" x14ac:dyDescent="0.25">
      <c r="A211" s="155" t="s">
        <v>1203</v>
      </c>
      <c r="B211" s="155" t="s">
        <v>1115</v>
      </c>
      <c r="C211" s="155" t="s">
        <v>1143</v>
      </c>
      <c r="D211" s="155" t="s">
        <v>1144</v>
      </c>
      <c r="E211" s="155" t="s">
        <v>1117</v>
      </c>
      <c r="F211" s="155" t="s">
        <v>1118</v>
      </c>
      <c r="G211" s="158" t="s">
        <v>1204</v>
      </c>
      <c r="H211" s="158" t="s">
        <v>1205</v>
      </c>
      <c r="I211" s="158" t="s">
        <v>1206</v>
      </c>
      <c r="J211" s="158" t="s">
        <v>1206</v>
      </c>
      <c r="K211" s="158" t="s">
        <v>45</v>
      </c>
      <c r="L211" s="158" t="s">
        <v>26</v>
      </c>
      <c r="M211" s="158" t="s">
        <v>46</v>
      </c>
      <c r="N211" s="158" t="s">
        <v>28</v>
      </c>
      <c r="O211" s="158" t="s">
        <v>29</v>
      </c>
      <c r="P211" s="158" t="s">
        <v>1207</v>
      </c>
    </row>
    <row r="212" spans="1:16" x14ac:dyDescent="0.25">
      <c r="A212" s="155" t="s">
        <v>1208</v>
      </c>
      <c r="B212" s="155" t="s">
        <v>1115</v>
      </c>
      <c r="C212" s="155" t="s">
        <v>1143</v>
      </c>
      <c r="D212" s="155" t="s">
        <v>1144</v>
      </c>
      <c r="E212" s="155" t="s">
        <v>1117</v>
      </c>
      <c r="F212" s="155" t="s">
        <v>1118</v>
      </c>
      <c r="G212" s="158" t="s">
        <v>1209</v>
      </c>
      <c r="H212" s="158" t="s">
        <v>1210</v>
      </c>
      <c r="I212" s="158" t="s">
        <v>1211</v>
      </c>
      <c r="J212" s="158" t="s">
        <v>1211</v>
      </c>
      <c r="K212" s="158" t="s">
        <v>156</v>
      </c>
      <c r="L212" s="158" t="s">
        <v>26</v>
      </c>
      <c r="M212" s="158" t="s">
        <v>157</v>
      </c>
      <c r="N212" s="158" t="s">
        <v>28</v>
      </c>
      <c r="O212" s="158" t="s">
        <v>29</v>
      </c>
      <c r="P212" s="158" t="s">
        <v>1212</v>
      </c>
    </row>
    <row r="213" spans="1:16" x14ac:dyDescent="0.25">
      <c r="A213" s="155" t="s">
        <v>1213</v>
      </c>
      <c r="B213" s="155" t="s">
        <v>1115</v>
      </c>
      <c r="C213" s="155" t="s">
        <v>1143</v>
      </c>
      <c r="D213" s="155" t="s">
        <v>1144</v>
      </c>
      <c r="E213" s="155" t="s">
        <v>1117</v>
      </c>
      <c r="F213" s="155" t="s">
        <v>1118</v>
      </c>
      <c r="G213" s="158" t="s">
        <v>1214</v>
      </c>
      <c r="H213" s="158" t="s">
        <v>1215</v>
      </c>
      <c r="I213" s="158" t="s">
        <v>1216</v>
      </c>
      <c r="J213" s="158" t="s">
        <v>1216</v>
      </c>
      <c r="K213" s="158" t="s">
        <v>45</v>
      </c>
      <c r="L213" s="158" t="s">
        <v>26</v>
      </c>
      <c r="M213" s="158" t="s">
        <v>46</v>
      </c>
      <c r="N213" s="158" t="s">
        <v>28</v>
      </c>
      <c r="O213" s="158" t="s">
        <v>29</v>
      </c>
      <c r="P213" s="158" t="s">
        <v>1217</v>
      </c>
    </row>
    <row r="214" spans="1:16" x14ac:dyDescent="0.25">
      <c r="A214" s="155" t="s">
        <v>1218</v>
      </c>
      <c r="B214" s="155" t="s">
        <v>1115</v>
      </c>
      <c r="C214" s="155" t="s">
        <v>1143</v>
      </c>
      <c r="D214" s="155" t="s">
        <v>1144</v>
      </c>
      <c r="E214" s="155" t="s">
        <v>1117</v>
      </c>
      <c r="F214" s="155" t="s">
        <v>1118</v>
      </c>
      <c r="G214" s="158" t="s">
        <v>1219</v>
      </c>
      <c r="H214" s="158" t="s">
        <v>1220</v>
      </c>
      <c r="I214" s="158" t="s">
        <v>1221</v>
      </c>
      <c r="J214" s="158" t="s">
        <v>1221</v>
      </c>
      <c r="K214" s="158" t="s">
        <v>71</v>
      </c>
      <c r="L214" s="158" t="s">
        <v>26</v>
      </c>
      <c r="M214" s="158" t="s">
        <v>72</v>
      </c>
      <c r="N214" s="158" t="s">
        <v>28</v>
      </c>
      <c r="O214" s="158" t="s">
        <v>29</v>
      </c>
      <c r="P214" s="158" t="s">
        <v>1222</v>
      </c>
    </row>
    <row r="215" spans="1:16" x14ac:dyDescent="0.25">
      <c r="A215" s="155" t="s">
        <v>1223</v>
      </c>
      <c r="B215" s="155" t="s">
        <v>1115</v>
      </c>
      <c r="C215" s="155" t="s">
        <v>1143</v>
      </c>
      <c r="D215" s="155" t="s">
        <v>1144</v>
      </c>
      <c r="E215" s="155" t="s">
        <v>1117</v>
      </c>
      <c r="F215" s="155" t="s">
        <v>1118</v>
      </c>
      <c r="G215" s="158" t="s">
        <v>1224</v>
      </c>
      <c r="H215" s="158" t="s">
        <v>1225</v>
      </c>
      <c r="I215" s="158" t="s">
        <v>1226</v>
      </c>
      <c r="J215" s="158" t="s">
        <v>1226</v>
      </c>
      <c r="K215" s="158" t="s">
        <v>71</v>
      </c>
      <c r="L215" s="158" t="s">
        <v>26</v>
      </c>
      <c r="M215" s="158" t="s">
        <v>72</v>
      </c>
      <c r="N215" s="158" t="s">
        <v>28</v>
      </c>
      <c r="O215" s="158" t="s">
        <v>29</v>
      </c>
      <c r="P215" s="158" t="s">
        <v>1227</v>
      </c>
    </row>
    <row r="216" spans="1:16" x14ac:dyDescent="0.25">
      <c r="A216" s="155" t="s">
        <v>1228</v>
      </c>
      <c r="B216" s="155" t="s">
        <v>1115</v>
      </c>
      <c r="C216" s="155" t="s">
        <v>1143</v>
      </c>
      <c r="D216" s="155" t="s">
        <v>1144</v>
      </c>
      <c r="E216" s="155" t="s">
        <v>1117</v>
      </c>
      <c r="F216" s="155" t="s">
        <v>1118</v>
      </c>
      <c r="G216" s="158" t="s">
        <v>1229</v>
      </c>
      <c r="H216" s="158" t="s">
        <v>1230</v>
      </c>
      <c r="I216" s="158" t="s">
        <v>1231</v>
      </c>
      <c r="J216" s="158" t="s">
        <v>1231</v>
      </c>
      <c r="K216" s="158" t="s">
        <v>71</v>
      </c>
      <c r="L216" s="158" t="s">
        <v>26</v>
      </c>
      <c r="M216" s="158" t="s">
        <v>72</v>
      </c>
      <c r="N216" s="158" t="s">
        <v>28</v>
      </c>
      <c r="O216" s="158" t="s">
        <v>29</v>
      </c>
      <c r="P216" s="158" t="s">
        <v>1232</v>
      </c>
    </row>
    <row r="217" spans="1:16" x14ac:dyDescent="0.25">
      <c r="A217" s="155" t="s">
        <v>1144</v>
      </c>
      <c r="B217" s="155" t="s">
        <v>1115</v>
      </c>
      <c r="C217" s="155" t="s">
        <v>1143</v>
      </c>
      <c r="D217" s="155" t="s">
        <v>1144</v>
      </c>
      <c r="E217" s="155" t="s">
        <v>1117</v>
      </c>
      <c r="F217" s="155" t="s">
        <v>1118</v>
      </c>
      <c r="G217" s="158" t="s">
        <v>1233</v>
      </c>
      <c r="H217" s="158" t="s">
        <v>1234</v>
      </c>
      <c r="I217" s="158" t="s">
        <v>1235</v>
      </c>
      <c r="J217" s="158" t="s">
        <v>1235</v>
      </c>
      <c r="K217" s="158" t="s">
        <v>71</v>
      </c>
      <c r="L217" s="158" t="s">
        <v>26</v>
      </c>
      <c r="M217" s="158" t="s">
        <v>72</v>
      </c>
      <c r="N217" s="158" t="s">
        <v>28</v>
      </c>
      <c r="O217" s="158" t="s">
        <v>29</v>
      </c>
      <c r="P217" s="158" t="s">
        <v>1236</v>
      </c>
    </row>
    <row r="218" spans="1:16" x14ac:dyDescent="0.25">
      <c r="A218" s="155" t="s">
        <v>1237</v>
      </c>
      <c r="B218" s="155" t="s">
        <v>1115</v>
      </c>
      <c r="C218" s="155" t="s">
        <v>1143</v>
      </c>
      <c r="D218" s="155" t="s">
        <v>1144</v>
      </c>
      <c r="E218" s="155" t="s">
        <v>1117</v>
      </c>
      <c r="F218" s="155" t="s">
        <v>1118</v>
      </c>
      <c r="G218" s="158" t="s">
        <v>1238</v>
      </c>
      <c r="H218" s="158" t="s">
        <v>1239</v>
      </c>
      <c r="I218" s="158" t="s">
        <v>1240</v>
      </c>
      <c r="J218" s="158" t="s">
        <v>1240</v>
      </c>
      <c r="K218" s="158" t="s">
        <v>71</v>
      </c>
      <c r="L218" s="158" t="s">
        <v>26</v>
      </c>
      <c r="M218" s="158" t="s">
        <v>72</v>
      </c>
      <c r="N218" s="158" t="s">
        <v>28</v>
      </c>
      <c r="O218" s="158" t="s">
        <v>29</v>
      </c>
      <c r="P218" s="158" t="s">
        <v>1241</v>
      </c>
    </row>
    <row r="219" spans="1:16" x14ac:dyDescent="0.25">
      <c r="A219" s="155" t="s">
        <v>1242</v>
      </c>
      <c r="B219" s="155" t="s">
        <v>1115</v>
      </c>
      <c r="C219" s="155" t="s">
        <v>1143</v>
      </c>
      <c r="D219" s="155" t="s">
        <v>1144</v>
      </c>
      <c r="E219" s="155" t="s">
        <v>1117</v>
      </c>
      <c r="F219" s="155" t="s">
        <v>1118</v>
      </c>
      <c r="G219" s="158" t="s">
        <v>1243</v>
      </c>
      <c r="H219" s="158" t="s">
        <v>1244</v>
      </c>
      <c r="I219" s="158" t="s">
        <v>1245</v>
      </c>
      <c r="J219" s="158" t="s">
        <v>1245</v>
      </c>
      <c r="K219" s="158" t="s">
        <v>59</v>
      </c>
      <c r="L219" s="158" t="s">
        <v>26</v>
      </c>
      <c r="M219" s="158" t="s">
        <v>60</v>
      </c>
      <c r="N219" s="158" t="s">
        <v>28</v>
      </c>
      <c r="O219" s="158" t="s">
        <v>29</v>
      </c>
      <c r="P219" s="158" t="s">
        <v>1246</v>
      </c>
    </row>
    <row r="220" spans="1:16" x14ac:dyDescent="0.25">
      <c r="A220" s="155" t="s">
        <v>1247</v>
      </c>
      <c r="B220" s="155" t="s">
        <v>1115</v>
      </c>
      <c r="C220" s="155" t="s">
        <v>1150</v>
      </c>
      <c r="D220" s="155" t="s">
        <v>1151</v>
      </c>
      <c r="E220" s="155" t="s">
        <v>1117</v>
      </c>
      <c r="F220" s="155" t="s">
        <v>1118</v>
      </c>
      <c r="G220" s="158" t="s">
        <v>1248</v>
      </c>
      <c r="H220" s="158" t="s">
        <v>1249</v>
      </c>
      <c r="I220" s="158" t="s">
        <v>1250</v>
      </c>
      <c r="J220" s="158" t="s">
        <v>1250</v>
      </c>
      <c r="K220" s="158" t="s">
        <v>71</v>
      </c>
      <c r="L220" s="158" t="s">
        <v>26</v>
      </c>
      <c r="M220" s="158" t="s">
        <v>72</v>
      </c>
      <c r="N220" s="158" t="s">
        <v>28</v>
      </c>
      <c r="O220" s="158" t="s">
        <v>29</v>
      </c>
      <c r="P220" s="158" t="s">
        <v>1251</v>
      </c>
    </row>
    <row r="221" spans="1:16" x14ac:dyDescent="0.25">
      <c r="A221" s="155" t="s">
        <v>1252</v>
      </c>
      <c r="B221" s="155" t="s">
        <v>1115</v>
      </c>
      <c r="C221" s="155" t="s">
        <v>1150</v>
      </c>
      <c r="D221" s="155" t="s">
        <v>1151</v>
      </c>
      <c r="E221" s="155" t="s">
        <v>1117</v>
      </c>
      <c r="F221" s="155" t="s">
        <v>1118</v>
      </c>
      <c r="G221" s="158" t="s">
        <v>1253</v>
      </c>
      <c r="H221" s="158" t="s">
        <v>1254</v>
      </c>
      <c r="I221" s="158" t="s">
        <v>1255</v>
      </c>
      <c r="J221" s="158" t="s">
        <v>1255</v>
      </c>
      <c r="K221" s="158" t="s">
        <v>71</v>
      </c>
      <c r="L221" s="158" t="s">
        <v>26</v>
      </c>
      <c r="M221" s="158" t="s">
        <v>72</v>
      </c>
      <c r="N221" s="158" t="s">
        <v>28</v>
      </c>
      <c r="O221" s="158" t="s">
        <v>29</v>
      </c>
      <c r="P221" s="158" t="s">
        <v>1256</v>
      </c>
    </row>
    <row r="222" spans="1:16" x14ac:dyDescent="0.25">
      <c r="A222" s="155" t="s">
        <v>1257</v>
      </c>
      <c r="B222" s="155" t="s">
        <v>1115</v>
      </c>
      <c r="C222" s="155" t="s">
        <v>1150</v>
      </c>
      <c r="D222" s="155" t="s">
        <v>1151</v>
      </c>
      <c r="E222" s="155" t="s">
        <v>1117</v>
      </c>
      <c r="F222" s="155" t="s">
        <v>1118</v>
      </c>
      <c r="G222" s="158" t="s">
        <v>1258</v>
      </c>
      <c r="H222" s="158" t="s">
        <v>1259</v>
      </c>
      <c r="I222" s="158" t="s">
        <v>1260</v>
      </c>
      <c r="J222" s="158" t="s">
        <v>1260</v>
      </c>
      <c r="K222" s="158" t="s">
        <v>71</v>
      </c>
      <c r="L222" s="158" t="s">
        <v>26</v>
      </c>
      <c r="M222" s="158" t="s">
        <v>72</v>
      </c>
      <c r="N222" s="158" t="s">
        <v>28</v>
      </c>
      <c r="O222" s="158" t="s">
        <v>29</v>
      </c>
      <c r="P222" s="158" t="s">
        <v>1261</v>
      </c>
    </row>
    <row r="223" spans="1:16" x14ac:dyDescent="0.25">
      <c r="A223" s="155" t="s">
        <v>1151</v>
      </c>
      <c r="B223" s="155" t="s">
        <v>1115</v>
      </c>
      <c r="C223" s="155" t="s">
        <v>1150</v>
      </c>
      <c r="D223" s="155" t="s">
        <v>1151</v>
      </c>
      <c r="E223" s="155" t="s">
        <v>1117</v>
      </c>
      <c r="F223" s="155" t="s">
        <v>1118</v>
      </c>
      <c r="G223" s="158" t="s">
        <v>1262</v>
      </c>
      <c r="H223" s="158" t="s">
        <v>1263</v>
      </c>
      <c r="I223" s="158" t="s">
        <v>1264</v>
      </c>
      <c r="J223" s="158" t="s">
        <v>1264</v>
      </c>
      <c r="K223" s="158" t="s">
        <v>59</v>
      </c>
      <c r="L223" s="158" t="s">
        <v>26</v>
      </c>
      <c r="M223" s="158" t="s">
        <v>60</v>
      </c>
      <c r="N223" s="158" t="s">
        <v>28</v>
      </c>
      <c r="O223" s="158" t="s">
        <v>29</v>
      </c>
      <c r="P223" s="158" t="s">
        <v>1265</v>
      </c>
    </row>
    <row r="224" spans="1:16" x14ac:dyDescent="0.25">
      <c r="A224" s="155" t="s">
        <v>1266</v>
      </c>
      <c r="B224" s="155" t="s">
        <v>1115</v>
      </c>
      <c r="C224" s="155" t="s">
        <v>1150</v>
      </c>
      <c r="D224" s="155" t="s">
        <v>1151</v>
      </c>
      <c r="E224" s="155" t="s">
        <v>1117</v>
      </c>
      <c r="F224" s="155" t="s">
        <v>1118</v>
      </c>
      <c r="G224" s="158" t="s">
        <v>1267</v>
      </c>
      <c r="H224" s="158" t="s">
        <v>1268</v>
      </c>
      <c r="I224" s="158" t="s">
        <v>1269</v>
      </c>
      <c r="J224" s="158" t="s">
        <v>1269</v>
      </c>
      <c r="K224" s="158" t="s">
        <v>45</v>
      </c>
      <c r="L224" s="158" t="s">
        <v>26</v>
      </c>
      <c r="M224" s="158" t="s">
        <v>46</v>
      </c>
      <c r="N224" s="158" t="s">
        <v>28</v>
      </c>
      <c r="O224" s="158" t="s">
        <v>29</v>
      </c>
      <c r="P224" s="158" t="s">
        <v>1270</v>
      </c>
    </row>
    <row r="225" spans="1:16" x14ac:dyDescent="0.25">
      <c r="A225" s="155" t="s">
        <v>1271</v>
      </c>
      <c r="B225" s="155" t="s">
        <v>1115</v>
      </c>
      <c r="C225" s="155" t="s">
        <v>1150</v>
      </c>
      <c r="D225" s="155" t="s">
        <v>1151</v>
      </c>
      <c r="E225" s="155" t="s">
        <v>1117</v>
      </c>
      <c r="F225" s="155" t="s">
        <v>1118</v>
      </c>
      <c r="G225" s="158" t="s">
        <v>1272</v>
      </c>
      <c r="H225" s="158" t="s">
        <v>1273</v>
      </c>
      <c r="I225" s="158" t="s">
        <v>1274</v>
      </c>
      <c r="J225" s="158" t="s">
        <v>1274</v>
      </c>
      <c r="K225" s="158" t="s">
        <v>71</v>
      </c>
      <c r="L225" s="158" t="s">
        <v>26</v>
      </c>
      <c r="M225" s="158" t="s">
        <v>72</v>
      </c>
      <c r="N225" s="158" t="s">
        <v>28</v>
      </c>
      <c r="O225" s="158" t="s">
        <v>29</v>
      </c>
      <c r="P225" s="158" t="s">
        <v>1275</v>
      </c>
    </row>
    <row r="226" spans="1:16" x14ac:dyDescent="0.25">
      <c r="A226" s="155" t="s">
        <v>1276</v>
      </c>
      <c r="B226" s="155" t="s">
        <v>1115</v>
      </c>
      <c r="C226" s="155" t="s">
        <v>1150</v>
      </c>
      <c r="D226" s="155" t="s">
        <v>1151</v>
      </c>
      <c r="E226" s="155" t="s">
        <v>1117</v>
      </c>
      <c r="F226" s="155" t="s">
        <v>1118</v>
      </c>
      <c r="G226" s="158" t="s">
        <v>1277</v>
      </c>
      <c r="H226" s="158" t="s">
        <v>1278</v>
      </c>
      <c r="I226" s="158" t="s">
        <v>1279</v>
      </c>
      <c r="J226" s="158" t="s">
        <v>1279</v>
      </c>
      <c r="K226" s="158" t="s">
        <v>71</v>
      </c>
      <c r="L226" s="158" t="s">
        <v>26</v>
      </c>
      <c r="M226" s="158" t="s">
        <v>72</v>
      </c>
      <c r="N226" s="158" t="s">
        <v>28</v>
      </c>
      <c r="O226" s="158" t="s">
        <v>29</v>
      </c>
      <c r="P226" s="158" t="s">
        <v>1280</v>
      </c>
    </row>
    <row r="227" spans="1:16" x14ac:dyDescent="0.25">
      <c r="A227" s="155" t="s">
        <v>1281</v>
      </c>
      <c r="B227" s="155" t="s">
        <v>1115</v>
      </c>
      <c r="C227" s="155" t="s">
        <v>1150</v>
      </c>
      <c r="D227" s="155" t="s">
        <v>1151</v>
      </c>
      <c r="E227" s="155" t="s">
        <v>1117</v>
      </c>
      <c r="F227" s="155" t="s">
        <v>1118</v>
      </c>
      <c r="G227" s="158" t="s">
        <v>1282</v>
      </c>
      <c r="H227" s="158" t="s">
        <v>1283</v>
      </c>
      <c r="I227" s="158" t="s">
        <v>1284</v>
      </c>
      <c r="J227" s="158" t="s">
        <v>1284</v>
      </c>
      <c r="K227" s="158" t="s">
        <v>71</v>
      </c>
      <c r="L227" s="158" t="s">
        <v>26</v>
      </c>
      <c r="M227" s="158" t="s">
        <v>72</v>
      </c>
      <c r="N227" s="158" t="s">
        <v>28</v>
      </c>
      <c r="O227" s="158" t="s">
        <v>29</v>
      </c>
      <c r="P227" s="158" t="s">
        <v>1285</v>
      </c>
    </row>
    <row r="228" spans="1:16" x14ac:dyDescent="0.25">
      <c r="A228" s="155" t="s">
        <v>1286</v>
      </c>
      <c r="B228" s="155" t="s">
        <v>1115</v>
      </c>
      <c r="C228" s="155" t="s">
        <v>1150</v>
      </c>
      <c r="D228" s="155" t="s">
        <v>1151</v>
      </c>
      <c r="E228" s="155" t="s">
        <v>1117</v>
      </c>
      <c r="F228" s="155" t="s">
        <v>1118</v>
      </c>
      <c r="G228" s="158" t="s">
        <v>1287</v>
      </c>
      <c r="H228" s="158" t="s">
        <v>1288</v>
      </c>
      <c r="I228" s="158" t="s">
        <v>1289</v>
      </c>
      <c r="J228" s="158" t="s">
        <v>1289</v>
      </c>
      <c r="K228" s="158" t="s">
        <v>71</v>
      </c>
      <c r="L228" s="158" t="s">
        <v>26</v>
      </c>
      <c r="M228" s="158" t="s">
        <v>72</v>
      </c>
      <c r="N228" s="158" t="s">
        <v>28</v>
      </c>
      <c r="O228" s="158" t="s">
        <v>29</v>
      </c>
      <c r="P228" s="158" t="s">
        <v>1290</v>
      </c>
    </row>
    <row r="229" spans="1:16" x14ac:dyDescent="0.25">
      <c r="A229" s="155" t="s">
        <v>1291</v>
      </c>
      <c r="B229" s="155" t="s">
        <v>1115</v>
      </c>
      <c r="C229" s="155" t="s">
        <v>1150</v>
      </c>
      <c r="D229" s="155" t="s">
        <v>1151</v>
      </c>
      <c r="E229" s="155" t="s">
        <v>1117</v>
      </c>
      <c r="F229" s="155" t="s">
        <v>1118</v>
      </c>
      <c r="G229" s="158" t="s">
        <v>1292</v>
      </c>
      <c r="H229" s="158" t="s">
        <v>1293</v>
      </c>
      <c r="I229" s="158" t="s">
        <v>1294</v>
      </c>
      <c r="J229" s="158" t="s">
        <v>1294</v>
      </c>
      <c r="K229" s="158" t="s">
        <v>59</v>
      </c>
      <c r="L229" s="158" t="s">
        <v>26</v>
      </c>
      <c r="M229" s="158" t="s">
        <v>60</v>
      </c>
      <c r="N229" s="158" t="s">
        <v>28</v>
      </c>
      <c r="O229" s="158" t="s">
        <v>29</v>
      </c>
      <c r="P229" s="158" t="s">
        <v>1295</v>
      </c>
    </row>
    <row r="230" spans="1:16" x14ac:dyDescent="0.25">
      <c r="A230" s="155" t="s">
        <v>1296</v>
      </c>
      <c r="B230" s="155" t="s">
        <v>1115</v>
      </c>
      <c r="C230" s="155" t="s">
        <v>1157</v>
      </c>
      <c r="D230" s="155" t="s">
        <v>1158</v>
      </c>
      <c r="E230" s="155" t="s">
        <v>1117</v>
      </c>
      <c r="F230" s="155" t="s">
        <v>1118</v>
      </c>
      <c r="G230" s="158" t="s">
        <v>1297</v>
      </c>
      <c r="H230" s="158" t="s">
        <v>1298</v>
      </c>
      <c r="I230" s="158" t="s">
        <v>1299</v>
      </c>
      <c r="J230" s="158" t="s">
        <v>1299</v>
      </c>
      <c r="K230" s="158" t="s">
        <v>45</v>
      </c>
      <c r="L230" s="158" t="s">
        <v>26</v>
      </c>
      <c r="M230" s="158" t="s">
        <v>46</v>
      </c>
      <c r="N230" s="158" t="s">
        <v>28</v>
      </c>
      <c r="O230" s="158" t="s">
        <v>29</v>
      </c>
      <c r="P230" s="158" t="s">
        <v>1300</v>
      </c>
    </row>
    <row r="231" spans="1:16" x14ac:dyDescent="0.25">
      <c r="A231" s="155" t="s">
        <v>1301</v>
      </c>
      <c r="B231" s="155" t="s">
        <v>1115</v>
      </c>
      <c r="C231" s="155" t="s">
        <v>1157</v>
      </c>
      <c r="D231" s="155" t="s">
        <v>1158</v>
      </c>
      <c r="E231" s="155" t="s">
        <v>1117</v>
      </c>
      <c r="F231" s="155" t="s">
        <v>1118</v>
      </c>
      <c r="G231" s="158" t="s">
        <v>1302</v>
      </c>
      <c r="H231" s="158" t="s">
        <v>1303</v>
      </c>
      <c r="I231" s="158" t="s">
        <v>1304</v>
      </c>
      <c r="J231" s="158" t="s">
        <v>1304</v>
      </c>
      <c r="K231" s="158" t="s">
        <v>37</v>
      </c>
      <c r="L231" s="158" t="s">
        <v>26</v>
      </c>
      <c r="M231" s="158" t="s">
        <v>38</v>
      </c>
      <c r="N231" s="158" t="s">
        <v>28</v>
      </c>
      <c r="O231" s="158" t="s">
        <v>39</v>
      </c>
      <c r="P231" s="158" t="s">
        <v>1305</v>
      </c>
    </row>
    <row r="232" spans="1:16" x14ac:dyDescent="0.25">
      <c r="A232" s="155" t="s">
        <v>1306</v>
      </c>
      <c r="B232" s="155" t="s">
        <v>1115</v>
      </c>
      <c r="C232" s="155" t="s">
        <v>1157</v>
      </c>
      <c r="D232" s="155" t="s">
        <v>1158</v>
      </c>
      <c r="E232" s="155" t="s">
        <v>1117</v>
      </c>
      <c r="F232" s="155" t="s">
        <v>1118</v>
      </c>
      <c r="G232" s="158" t="s">
        <v>1307</v>
      </c>
      <c r="H232" s="158" t="s">
        <v>1308</v>
      </c>
      <c r="I232" s="158" t="s">
        <v>1309</v>
      </c>
      <c r="J232" s="158" t="s">
        <v>1309</v>
      </c>
      <c r="K232" s="158" t="s">
        <v>156</v>
      </c>
      <c r="L232" s="158" t="s">
        <v>26</v>
      </c>
      <c r="M232" s="158" t="s">
        <v>157</v>
      </c>
      <c r="N232" s="158" t="s">
        <v>28</v>
      </c>
      <c r="O232" s="158" t="s">
        <v>29</v>
      </c>
      <c r="P232" s="158" t="s">
        <v>1310</v>
      </c>
    </row>
    <row r="233" spans="1:16" x14ac:dyDescent="0.25">
      <c r="A233" s="155" t="s">
        <v>1158</v>
      </c>
      <c r="B233" s="155" t="s">
        <v>1115</v>
      </c>
      <c r="C233" s="155" t="s">
        <v>1157</v>
      </c>
      <c r="D233" s="155" t="s">
        <v>1158</v>
      </c>
      <c r="E233" s="155" t="s">
        <v>1117</v>
      </c>
      <c r="F233" s="155" t="s">
        <v>1118</v>
      </c>
      <c r="G233" s="158" t="s">
        <v>1311</v>
      </c>
      <c r="H233" s="158" t="s">
        <v>1312</v>
      </c>
      <c r="I233" s="158" t="s">
        <v>1313</v>
      </c>
      <c r="J233" s="158" t="s">
        <v>1313</v>
      </c>
      <c r="K233" s="158" t="s">
        <v>71</v>
      </c>
      <c r="L233" s="158" t="s">
        <v>26</v>
      </c>
      <c r="M233" s="158" t="s">
        <v>72</v>
      </c>
      <c r="N233" s="158" t="s">
        <v>28</v>
      </c>
      <c r="O233" s="158" t="s">
        <v>29</v>
      </c>
      <c r="P233" s="158" t="s">
        <v>1314</v>
      </c>
    </row>
    <row r="234" spans="1:16" x14ac:dyDescent="0.25">
      <c r="A234" s="155" t="s">
        <v>1315</v>
      </c>
      <c r="B234" s="155" t="s">
        <v>1115</v>
      </c>
      <c r="C234" s="155" t="s">
        <v>1157</v>
      </c>
      <c r="D234" s="155" t="s">
        <v>1158</v>
      </c>
      <c r="E234" s="155" t="s">
        <v>1117</v>
      </c>
      <c r="F234" s="155" t="s">
        <v>1118</v>
      </c>
      <c r="G234" s="158" t="s">
        <v>1316</v>
      </c>
      <c r="H234" s="158" t="s">
        <v>1317</v>
      </c>
      <c r="I234" s="158" t="s">
        <v>1318</v>
      </c>
      <c r="J234" s="158" t="s">
        <v>1318</v>
      </c>
      <c r="K234" s="158" t="s">
        <v>71</v>
      </c>
      <c r="L234" s="158" t="s">
        <v>26</v>
      </c>
      <c r="M234" s="158" t="s">
        <v>72</v>
      </c>
      <c r="N234" s="158" t="s">
        <v>28</v>
      </c>
      <c r="O234" s="158" t="s">
        <v>29</v>
      </c>
      <c r="P234" s="158" t="s">
        <v>1319</v>
      </c>
    </row>
    <row r="235" spans="1:16" x14ac:dyDescent="0.25">
      <c r="A235" s="155" t="s">
        <v>1320</v>
      </c>
      <c r="B235" s="155" t="s">
        <v>1115</v>
      </c>
      <c r="C235" s="155" t="s">
        <v>1157</v>
      </c>
      <c r="D235" s="155" t="s">
        <v>1158</v>
      </c>
      <c r="E235" s="155" t="s">
        <v>1117</v>
      </c>
      <c r="F235" s="155" t="s">
        <v>1118</v>
      </c>
      <c r="G235" s="158" t="s">
        <v>1321</v>
      </c>
      <c r="H235" s="158" t="s">
        <v>1322</v>
      </c>
      <c r="I235" s="158" t="s">
        <v>1323</v>
      </c>
      <c r="J235" s="158" t="s">
        <v>1323</v>
      </c>
      <c r="K235" s="158" t="s">
        <v>71</v>
      </c>
      <c r="L235" s="158" t="s">
        <v>26</v>
      </c>
      <c r="M235" s="158" t="s">
        <v>72</v>
      </c>
      <c r="N235" s="158" t="s">
        <v>28</v>
      </c>
      <c r="O235" s="158" t="s">
        <v>29</v>
      </c>
      <c r="P235" s="158" t="s">
        <v>1324</v>
      </c>
    </row>
    <row r="236" spans="1:16" x14ac:dyDescent="0.25">
      <c r="A236" s="155" t="s">
        <v>1325</v>
      </c>
      <c r="B236" s="155" t="s">
        <v>1115</v>
      </c>
      <c r="C236" s="155" t="s">
        <v>1157</v>
      </c>
      <c r="D236" s="155" t="s">
        <v>1158</v>
      </c>
      <c r="E236" s="155" t="s">
        <v>1117</v>
      </c>
      <c r="F236" s="155" t="s">
        <v>1118</v>
      </c>
      <c r="G236" s="158" t="s">
        <v>1326</v>
      </c>
      <c r="H236" s="158" t="s">
        <v>1327</v>
      </c>
      <c r="I236" s="158" t="s">
        <v>1328</v>
      </c>
      <c r="J236" s="158" t="s">
        <v>1328</v>
      </c>
      <c r="K236" s="158" t="s">
        <v>71</v>
      </c>
      <c r="L236" s="158" t="s">
        <v>26</v>
      </c>
      <c r="M236" s="158" t="s">
        <v>72</v>
      </c>
      <c r="N236" s="158" t="s">
        <v>28</v>
      </c>
      <c r="O236" s="158" t="s">
        <v>29</v>
      </c>
      <c r="P236" s="158" t="s">
        <v>1329</v>
      </c>
    </row>
    <row r="237" spans="1:16" x14ac:dyDescent="0.25">
      <c r="A237" s="155" t="s">
        <v>1330</v>
      </c>
      <c r="B237" s="155" t="s">
        <v>1115</v>
      </c>
      <c r="C237" s="155" t="s">
        <v>1157</v>
      </c>
      <c r="D237" s="155" t="s">
        <v>1158</v>
      </c>
      <c r="E237" s="155" t="s">
        <v>1117</v>
      </c>
      <c r="F237" s="155" t="s">
        <v>1118</v>
      </c>
      <c r="G237" s="158" t="s">
        <v>1331</v>
      </c>
      <c r="H237" s="158" t="s">
        <v>1332</v>
      </c>
      <c r="I237" s="158" t="s">
        <v>1333</v>
      </c>
      <c r="J237" s="158" t="s">
        <v>1333</v>
      </c>
      <c r="K237" s="158" t="s">
        <v>71</v>
      </c>
      <c r="L237" s="158" t="s">
        <v>26</v>
      </c>
      <c r="M237" s="158" t="s">
        <v>72</v>
      </c>
      <c r="N237" s="158" t="s">
        <v>28</v>
      </c>
      <c r="O237" s="158" t="s">
        <v>29</v>
      </c>
      <c r="P237" s="158" t="s">
        <v>1334</v>
      </c>
    </row>
    <row r="238" spans="1:16" x14ac:dyDescent="0.25">
      <c r="A238" s="155" t="s">
        <v>1335</v>
      </c>
      <c r="B238" s="155" t="s">
        <v>1115</v>
      </c>
      <c r="C238" s="155" t="s">
        <v>1157</v>
      </c>
      <c r="D238" s="155" t="s">
        <v>1158</v>
      </c>
      <c r="E238" s="155" t="s">
        <v>1117</v>
      </c>
      <c r="F238" s="155" t="s">
        <v>1118</v>
      </c>
      <c r="G238" s="158" t="s">
        <v>1336</v>
      </c>
      <c r="H238" s="158" t="s">
        <v>1337</v>
      </c>
      <c r="I238" s="158" t="s">
        <v>1338</v>
      </c>
      <c r="J238" s="158" t="s">
        <v>1338</v>
      </c>
      <c r="K238" s="158" t="s">
        <v>71</v>
      </c>
      <c r="L238" s="158" t="s">
        <v>26</v>
      </c>
      <c r="M238" s="158" t="s">
        <v>72</v>
      </c>
      <c r="N238" s="158" t="s">
        <v>28</v>
      </c>
      <c r="O238" s="158" t="s">
        <v>29</v>
      </c>
      <c r="P238" s="158" t="s">
        <v>1339</v>
      </c>
    </row>
    <row r="239" spans="1:16" x14ac:dyDescent="0.25">
      <c r="A239" s="155" t="s">
        <v>1340</v>
      </c>
      <c r="B239" s="155" t="s">
        <v>1115</v>
      </c>
      <c r="C239" s="155" t="s">
        <v>1341</v>
      </c>
      <c r="D239" s="155" t="s">
        <v>1340</v>
      </c>
      <c r="E239" s="155" t="s">
        <v>1117</v>
      </c>
      <c r="F239" s="155" t="s">
        <v>1118</v>
      </c>
      <c r="G239" s="158" t="s">
        <v>1342</v>
      </c>
      <c r="H239" s="158" t="s">
        <v>1343</v>
      </c>
      <c r="I239" s="158" t="s">
        <v>1344</v>
      </c>
      <c r="J239" s="158" t="s">
        <v>1344</v>
      </c>
      <c r="K239" s="158" t="s">
        <v>71</v>
      </c>
      <c r="L239" s="158" t="s">
        <v>26</v>
      </c>
      <c r="M239" s="158" t="s">
        <v>72</v>
      </c>
      <c r="N239" s="158" t="s">
        <v>28</v>
      </c>
      <c r="O239" s="158" t="s">
        <v>29</v>
      </c>
      <c r="P239" s="158" t="s">
        <v>1345</v>
      </c>
    </row>
    <row r="240" spans="1:16" x14ac:dyDescent="0.25">
      <c r="A240" s="155" t="s">
        <v>1346</v>
      </c>
      <c r="B240" s="155" t="s">
        <v>1115</v>
      </c>
      <c r="C240" s="155" t="s">
        <v>1341</v>
      </c>
      <c r="D240" s="155" t="s">
        <v>1340</v>
      </c>
      <c r="E240" s="155" t="s">
        <v>1117</v>
      </c>
      <c r="F240" s="155" t="s">
        <v>1118</v>
      </c>
      <c r="G240" s="158" t="s">
        <v>1347</v>
      </c>
      <c r="H240" s="158" t="s">
        <v>1348</v>
      </c>
      <c r="I240" s="158" t="s">
        <v>1349</v>
      </c>
      <c r="J240" s="158" t="s">
        <v>1349</v>
      </c>
      <c r="K240" s="158" t="s">
        <v>156</v>
      </c>
      <c r="L240" s="158" t="s">
        <v>26</v>
      </c>
      <c r="M240" s="158" t="s">
        <v>157</v>
      </c>
      <c r="N240" s="158" t="s">
        <v>28</v>
      </c>
      <c r="O240" s="158" t="s">
        <v>29</v>
      </c>
      <c r="P240" s="158" t="s">
        <v>1350</v>
      </c>
    </row>
    <row r="241" spans="1:16" x14ac:dyDescent="0.25">
      <c r="A241" s="155" t="s">
        <v>1351</v>
      </c>
      <c r="B241" s="155" t="s">
        <v>1115</v>
      </c>
      <c r="C241" s="155" t="s">
        <v>1341</v>
      </c>
      <c r="D241" s="155" t="s">
        <v>1340</v>
      </c>
      <c r="E241" s="155" t="s">
        <v>1117</v>
      </c>
      <c r="F241" s="155" t="s">
        <v>1118</v>
      </c>
      <c r="G241" s="158" t="s">
        <v>1352</v>
      </c>
      <c r="H241" s="158" t="s">
        <v>1353</v>
      </c>
      <c r="I241" s="158" t="s">
        <v>1354</v>
      </c>
      <c r="J241" s="158" t="s">
        <v>1354</v>
      </c>
      <c r="K241" s="158" t="s">
        <v>45</v>
      </c>
      <c r="L241" s="158" t="s">
        <v>26</v>
      </c>
      <c r="M241" s="158" t="s">
        <v>46</v>
      </c>
      <c r="N241" s="158" t="s">
        <v>28</v>
      </c>
      <c r="O241" s="158" t="s">
        <v>29</v>
      </c>
      <c r="P241" s="158" t="s">
        <v>1355</v>
      </c>
    </row>
    <row r="242" spans="1:16" x14ac:dyDescent="0.25">
      <c r="A242" s="155" t="s">
        <v>1356</v>
      </c>
      <c r="B242" s="155" t="s">
        <v>1115</v>
      </c>
      <c r="C242" s="155" t="s">
        <v>1341</v>
      </c>
      <c r="D242" s="155" t="s">
        <v>1340</v>
      </c>
      <c r="E242" s="155" t="s">
        <v>1117</v>
      </c>
      <c r="F242" s="155" t="s">
        <v>1118</v>
      </c>
      <c r="G242" s="158" t="s">
        <v>1357</v>
      </c>
      <c r="H242" s="158" t="s">
        <v>1358</v>
      </c>
      <c r="I242" s="158" t="s">
        <v>1359</v>
      </c>
      <c r="J242" s="158" t="s">
        <v>1359</v>
      </c>
      <c r="K242" s="158" t="s">
        <v>156</v>
      </c>
      <c r="L242" s="158" t="s">
        <v>26</v>
      </c>
      <c r="M242" s="158" t="s">
        <v>157</v>
      </c>
      <c r="N242" s="158" t="s">
        <v>28</v>
      </c>
      <c r="O242" s="158" t="s">
        <v>29</v>
      </c>
      <c r="P242" s="158" t="s">
        <v>1360</v>
      </c>
    </row>
    <row r="243" spans="1:16" x14ac:dyDescent="0.25">
      <c r="A243" s="155" t="s">
        <v>1361</v>
      </c>
      <c r="B243" s="155" t="s">
        <v>1115</v>
      </c>
      <c r="C243" s="155" t="s">
        <v>1362</v>
      </c>
      <c r="D243" s="155" t="s">
        <v>1363</v>
      </c>
      <c r="E243" s="155" t="s">
        <v>1364</v>
      </c>
      <c r="F243" s="155" t="s">
        <v>1365</v>
      </c>
      <c r="G243" s="158" t="s">
        <v>1366</v>
      </c>
      <c r="H243" s="158" t="s">
        <v>1367</v>
      </c>
      <c r="I243" s="158" t="s">
        <v>1368</v>
      </c>
      <c r="J243" s="158" t="s">
        <v>1368</v>
      </c>
      <c r="K243" s="158" t="s">
        <v>71</v>
      </c>
      <c r="L243" s="158" t="s">
        <v>26</v>
      </c>
      <c r="M243" s="158" t="s">
        <v>72</v>
      </c>
      <c r="N243" s="158" t="s">
        <v>28</v>
      </c>
      <c r="O243" s="158" t="s">
        <v>29</v>
      </c>
      <c r="P243" s="158" t="s">
        <v>1369</v>
      </c>
    </row>
    <row r="244" spans="1:16" x14ac:dyDescent="0.25">
      <c r="A244" s="155" t="s">
        <v>1370</v>
      </c>
      <c r="B244" s="155" t="s">
        <v>1115</v>
      </c>
      <c r="C244" s="155" t="s">
        <v>1362</v>
      </c>
      <c r="D244" s="155" t="s">
        <v>1363</v>
      </c>
      <c r="E244" s="155" t="s">
        <v>1364</v>
      </c>
      <c r="F244" s="155" t="s">
        <v>1365</v>
      </c>
      <c r="G244" s="158" t="s">
        <v>1371</v>
      </c>
      <c r="H244" s="158" t="s">
        <v>1372</v>
      </c>
      <c r="I244" s="158" t="s">
        <v>1373</v>
      </c>
      <c r="J244" s="158" t="s">
        <v>1373</v>
      </c>
      <c r="K244" s="158" t="s">
        <v>71</v>
      </c>
      <c r="L244" s="158" t="s">
        <v>26</v>
      </c>
      <c r="M244" s="158" t="s">
        <v>72</v>
      </c>
      <c r="N244" s="158" t="s">
        <v>28</v>
      </c>
      <c r="O244" s="158" t="s">
        <v>29</v>
      </c>
      <c r="P244" s="158" t="s">
        <v>1374</v>
      </c>
    </row>
    <row r="245" spans="1:16" x14ac:dyDescent="0.25">
      <c r="A245" s="155" t="s">
        <v>1375</v>
      </c>
      <c r="B245" s="155" t="s">
        <v>1115</v>
      </c>
      <c r="C245" s="155" t="s">
        <v>1362</v>
      </c>
      <c r="D245" s="155" t="s">
        <v>1363</v>
      </c>
      <c r="E245" s="155" t="s">
        <v>1364</v>
      </c>
      <c r="F245" s="155" t="s">
        <v>1365</v>
      </c>
      <c r="G245" s="158" t="s">
        <v>1376</v>
      </c>
      <c r="H245" s="158" t="s">
        <v>1377</v>
      </c>
      <c r="I245" s="158" t="s">
        <v>1378</v>
      </c>
      <c r="J245" s="158" t="s">
        <v>1378</v>
      </c>
      <c r="K245" s="158" t="s">
        <v>71</v>
      </c>
      <c r="L245" s="158" t="s">
        <v>26</v>
      </c>
      <c r="M245" s="158" t="s">
        <v>72</v>
      </c>
      <c r="N245" s="158" t="s">
        <v>28</v>
      </c>
      <c r="O245" s="158" t="s">
        <v>29</v>
      </c>
      <c r="P245" s="158" t="s">
        <v>1379</v>
      </c>
    </row>
    <row r="246" spans="1:16" x14ac:dyDescent="0.25">
      <c r="A246" s="155" t="s">
        <v>1363</v>
      </c>
      <c r="B246" s="155" t="s">
        <v>1115</v>
      </c>
      <c r="C246" s="155" t="s">
        <v>1362</v>
      </c>
      <c r="D246" s="155" t="s">
        <v>1363</v>
      </c>
      <c r="E246" s="155" t="s">
        <v>1364</v>
      </c>
      <c r="F246" s="155" t="s">
        <v>1365</v>
      </c>
      <c r="G246" s="158" t="s">
        <v>1380</v>
      </c>
      <c r="H246" s="158" t="s">
        <v>1381</v>
      </c>
      <c r="I246" s="158" t="s">
        <v>1382</v>
      </c>
      <c r="J246" s="158" t="s">
        <v>1382</v>
      </c>
      <c r="K246" s="158" t="s">
        <v>71</v>
      </c>
      <c r="L246" s="158" t="s">
        <v>26</v>
      </c>
      <c r="M246" s="158" t="s">
        <v>72</v>
      </c>
      <c r="N246" s="158" t="s">
        <v>28</v>
      </c>
      <c r="O246" s="158" t="s">
        <v>29</v>
      </c>
      <c r="P246" s="158" t="s">
        <v>1383</v>
      </c>
    </row>
    <row r="247" spans="1:16" x14ac:dyDescent="0.25">
      <c r="A247" s="155" t="s">
        <v>1384</v>
      </c>
      <c r="B247" s="155" t="s">
        <v>1115</v>
      </c>
      <c r="C247" s="155" t="s">
        <v>1362</v>
      </c>
      <c r="D247" s="155" t="s">
        <v>1363</v>
      </c>
      <c r="E247" s="155" t="s">
        <v>1364</v>
      </c>
      <c r="F247" s="155" t="s">
        <v>1365</v>
      </c>
      <c r="G247" s="158" t="s">
        <v>1385</v>
      </c>
      <c r="H247" s="158" t="s">
        <v>1386</v>
      </c>
      <c r="I247" s="158" t="s">
        <v>1387</v>
      </c>
      <c r="J247" s="158" t="s">
        <v>1387</v>
      </c>
      <c r="K247" s="158" t="s">
        <v>71</v>
      </c>
      <c r="L247" s="158" t="s">
        <v>26</v>
      </c>
      <c r="M247" s="158" t="s">
        <v>72</v>
      </c>
      <c r="N247" s="158" t="s">
        <v>28</v>
      </c>
      <c r="O247" s="158" t="s">
        <v>29</v>
      </c>
      <c r="P247" s="158" t="s">
        <v>1388</v>
      </c>
    </row>
    <row r="248" spans="1:16" x14ac:dyDescent="0.25">
      <c r="A248" s="155" t="s">
        <v>1389</v>
      </c>
      <c r="B248" s="155" t="s">
        <v>1115</v>
      </c>
      <c r="C248" s="155" t="s">
        <v>1362</v>
      </c>
      <c r="D248" s="155" t="s">
        <v>1363</v>
      </c>
      <c r="E248" s="155" t="s">
        <v>1364</v>
      </c>
      <c r="F248" s="155" t="s">
        <v>1365</v>
      </c>
      <c r="G248" s="158" t="s">
        <v>1390</v>
      </c>
      <c r="H248" s="158" t="s">
        <v>1391</v>
      </c>
      <c r="I248" s="158" t="s">
        <v>1392</v>
      </c>
      <c r="J248" s="158" t="s">
        <v>1393</v>
      </c>
      <c r="K248" s="158" t="s">
        <v>71</v>
      </c>
      <c r="L248" s="158" t="s">
        <v>26</v>
      </c>
      <c r="M248" s="158" t="s">
        <v>72</v>
      </c>
      <c r="N248" s="158" t="s">
        <v>28</v>
      </c>
      <c r="O248" s="158" t="s">
        <v>29</v>
      </c>
      <c r="P248" s="158" t="s">
        <v>1394</v>
      </c>
    </row>
    <row r="249" spans="1:16" x14ac:dyDescent="0.25">
      <c r="A249" s="155" t="s">
        <v>1395</v>
      </c>
      <c r="B249" s="155" t="s">
        <v>1115</v>
      </c>
      <c r="C249" s="155" t="s">
        <v>1362</v>
      </c>
      <c r="D249" s="155" t="s">
        <v>1363</v>
      </c>
      <c r="E249" s="155" t="s">
        <v>1364</v>
      </c>
      <c r="F249" s="155" t="s">
        <v>1365</v>
      </c>
      <c r="G249" s="158" t="s">
        <v>1396</v>
      </c>
      <c r="H249" s="158" t="s">
        <v>1397</v>
      </c>
      <c r="I249" s="158" t="s">
        <v>1398</v>
      </c>
      <c r="J249" s="158" t="s">
        <v>1393</v>
      </c>
      <c r="K249" s="158" t="s">
        <v>71</v>
      </c>
      <c r="L249" s="158" t="s">
        <v>26</v>
      </c>
      <c r="M249" s="158" t="s">
        <v>72</v>
      </c>
      <c r="N249" s="158" t="s">
        <v>28</v>
      </c>
      <c r="O249" s="158" t="s">
        <v>29</v>
      </c>
      <c r="P249" s="158" t="s">
        <v>1399</v>
      </c>
    </row>
    <row r="250" spans="1:16" x14ac:dyDescent="0.25">
      <c r="A250" s="155" t="s">
        <v>1400</v>
      </c>
      <c r="B250" s="155" t="s">
        <v>1115</v>
      </c>
      <c r="C250" s="155" t="s">
        <v>1362</v>
      </c>
      <c r="D250" s="155" t="s">
        <v>1363</v>
      </c>
      <c r="E250" s="155" t="s">
        <v>1364</v>
      </c>
      <c r="F250" s="155" t="s">
        <v>1365</v>
      </c>
      <c r="G250" s="158" t="s">
        <v>1401</v>
      </c>
      <c r="H250" s="158" t="s">
        <v>1402</v>
      </c>
      <c r="I250" s="158" t="s">
        <v>1403</v>
      </c>
      <c r="J250" s="158" t="s">
        <v>816</v>
      </c>
      <c r="K250" s="158" t="s">
        <v>71</v>
      </c>
      <c r="L250" s="158" t="s">
        <v>26</v>
      </c>
      <c r="M250" s="158" t="s">
        <v>72</v>
      </c>
      <c r="N250" s="158" t="s">
        <v>28</v>
      </c>
      <c r="O250" s="158" t="s">
        <v>29</v>
      </c>
      <c r="P250" s="158" t="s">
        <v>1404</v>
      </c>
    </row>
    <row r="251" spans="1:16" x14ac:dyDescent="0.25">
      <c r="A251" s="155" t="s">
        <v>1405</v>
      </c>
      <c r="B251" s="155" t="s">
        <v>1115</v>
      </c>
      <c r="C251" s="155" t="s">
        <v>1362</v>
      </c>
      <c r="D251" s="155" t="s">
        <v>1363</v>
      </c>
      <c r="E251" s="155" t="s">
        <v>1364</v>
      </c>
      <c r="F251" s="155" t="s">
        <v>1365</v>
      </c>
      <c r="G251" s="158" t="s">
        <v>1406</v>
      </c>
      <c r="H251" s="158" t="s">
        <v>1407</v>
      </c>
      <c r="I251" s="158" t="s">
        <v>1408</v>
      </c>
      <c r="J251" s="158" t="s">
        <v>1408</v>
      </c>
      <c r="K251" s="158" t="s">
        <v>822</v>
      </c>
      <c r="L251" s="158" t="s">
        <v>26</v>
      </c>
      <c r="M251" s="158" t="s">
        <v>823</v>
      </c>
      <c r="N251" s="158" t="s">
        <v>28</v>
      </c>
      <c r="O251" s="158" t="s">
        <v>29</v>
      </c>
      <c r="P251" s="158" t="s">
        <v>1409</v>
      </c>
    </row>
    <row r="252" spans="1:16" x14ac:dyDescent="0.25">
      <c r="A252" s="155" t="s">
        <v>1410</v>
      </c>
      <c r="B252" s="155" t="s">
        <v>1115</v>
      </c>
      <c r="C252" s="155" t="s">
        <v>1362</v>
      </c>
      <c r="D252" s="155" t="s">
        <v>1363</v>
      </c>
      <c r="E252" s="155" t="s">
        <v>1364</v>
      </c>
      <c r="F252" s="155" t="s">
        <v>1365</v>
      </c>
      <c r="G252" s="158" t="s">
        <v>1411</v>
      </c>
      <c r="H252" s="158" t="s">
        <v>1412</v>
      </c>
      <c r="I252" s="158" t="s">
        <v>1413</v>
      </c>
      <c r="J252" s="158" t="s">
        <v>1413</v>
      </c>
      <c r="K252" s="158" t="s">
        <v>822</v>
      </c>
      <c r="L252" s="158" t="s">
        <v>26</v>
      </c>
      <c r="M252" s="158" t="s">
        <v>823</v>
      </c>
      <c r="N252" s="158" t="s">
        <v>28</v>
      </c>
      <c r="O252" s="158" t="s">
        <v>29</v>
      </c>
      <c r="P252" s="158" t="s">
        <v>1414</v>
      </c>
    </row>
    <row r="253" spans="1:16" x14ac:dyDescent="0.25">
      <c r="A253" s="155" t="s">
        <v>1415</v>
      </c>
      <c r="B253" s="155" t="s">
        <v>1115</v>
      </c>
      <c r="C253" s="155" t="s">
        <v>1362</v>
      </c>
      <c r="D253" s="155" t="s">
        <v>1363</v>
      </c>
      <c r="E253" s="155" t="s">
        <v>1364</v>
      </c>
      <c r="F253" s="155" t="s">
        <v>1365</v>
      </c>
      <c r="G253" s="158" t="s">
        <v>1416</v>
      </c>
      <c r="H253" s="158" t="s">
        <v>1417</v>
      </c>
      <c r="I253" s="158" t="s">
        <v>1418</v>
      </c>
      <c r="J253" s="158" t="s">
        <v>1418</v>
      </c>
      <c r="K253" s="158" t="s">
        <v>822</v>
      </c>
      <c r="L253" s="158" t="s">
        <v>26</v>
      </c>
      <c r="M253" s="158" t="s">
        <v>823</v>
      </c>
      <c r="N253" s="158" t="s">
        <v>28</v>
      </c>
      <c r="O253" s="158" t="s">
        <v>29</v>
      </c>
      <c r="P253" s="158" t="s">
        <v>1419</v>
      </c>
    </row>
    <row r="254" spans="1:16" x14ac:dyDescent="0.25">
      <c r="A254" s="155" t="s">
        <v>1420</v>
      </c>
      <c r="B254" s="155" t="s">
        <v>1115</v>
      </c>
      <c r="C254" s="155" t="s">
        <v>1421</v>
      </c>
      <c r="D254" s="155" t="s">
        <v>1422</v>
      </c>
      <c r="E254" s="155" t="s">
        <v>1117</v>
      </c>
      <c r="F254" s="155" t="s">
        <v>1118</v>
      </c>
      <c r="G254" s="158" t="s">
        <v>1423</v>
      </c>
      <c r="H254" s="158" t="s">
        <v>1424</v>
      </c>
      <c r="I254" s="158" t="s">
        <v>1425</v>
      </c>
      <c r="J254" s="158" t="s">
        <v>1425</v>
      </c>
      <c r="K254" s="158" t="s">
        <v>71</v>
      </c>
      <c r="L254" s="158" t="s">
        <v>26</v>
      </c>
      <c r="M254" s="158" t="s">
        <v>72</v>
      </c>
      <c r="N254" s="158" t="s">
        <v>28</v>
      </c>
      <c r="O254" s="158" t="s">
        <v>29</v>
      </c>
      <c r="P254" s="158" t="s">
        <v>1426</v>
      </c>
    </row>
    <row r="255" spans="1:16" x14ac:dyDescent="0.25">
      <c r="A255" s="155" t="s">
        <v>1427</v>
      </c>
      <c r="B255" s="155" t="s">
        <v>1115</v>
      </c>
      <c r="C255" s="155" t="s">
        <v>1421</v>
      </c>
      <c r="D255" s="155" t="s">
        <v>1422</v>
      </c>
      <c r="E255" s="155" t="s">
        <v>1117</v>
      </c>
      <c r="F255" s="155" t="s">
        <v>1118</v>
      </c>
      <c r="G255" s="162" t="s">
        <v>1428</v>
      </c>
      <c r="H255" s="162" t="s">
        <v>1429</v>
      </c>
      <c r="I255" s="162" t="s">
        <v>1430</v>
      </c>
      <c r="J255" s="162" t="s">
        <v>1430</v>
      </c>
      <c r="K255" s="162" t="s">
        <v>71</v>
      </c>
      <c r="L255" s="162" t="s">
        <v>26</v>
      </c>
      <c r="M255" s="162" t="s">
        <v>72</v>
      </c>
      <c r="N255" s="162" t="s">
        <v>28</v>
      </c>
      <c r="O255" s="162" t="s">
        <v>29</v>
      </c>
      <c r="P255" s="162" t="s">
        <v>1431</v>
      </c>
    </row>
    <row r="256" spans="1:16" x14ac:dyDescent="0.25">
      <c r="A256" s="155" t="s">
        <v>1432</v>
      </c>
      <c r="B256" s="155" t="s">
        <v>1115</v>
      </c>
      <c r="C256" s="155" t="s">
        <v>1421</v>
      </c>
      <c r="D256" s="155" t="s">
        <v>1422</v>
      </c>
      <c r="E256" s="155" t="s">
        <v>1117</v>
      </c>
      <c r="F256" s="155" t="s">
        <v>1118</v>
      </c>
      <c r="G256" s="162" t="s">
        <v>1433</v>
      </c>
      <c r="H256" s="162" t="s">
        <v>1434</v>
      </c>
      <c r="I256" s="162" t="s">
        <v>1435</v>
      </c>
      <c r="J256" s="162" t="s">
        <v>1435</v>
      </c>
      <c r="K256" s="162" t="s">
        <v>45</v>
      </c>
      <c r="L256" s="162" t="s">
        <v>26</v>
      </c>
      <c r="M256" s="162" t="s">
        <v>46</v>
      </c>
      <c r="N256" s="162" t="s">
        <v>28</v>
      </c>
      <c r="O256" s="162" t="s">
        <v>29</v>
      </c>
      <c r="P256" s="162" t="s">
        <v>1436</v>
      </c>
    </row>
    <row r="257" spans="1:16" x14ac:dyDescent="0.25">
      <c r="A257" s="155" t="s">
        <v>1437</v>
      </c>
      <c r="B257" s="155" t="s">
        <v>1115</v>
      </c>
      <c r="C257" s="155" t="s">
        <v>1421</v>
      </c>
      <c r="D257" s="155" t="s">
        <v>1422</v>
      </c>
      <c r="E257" s="155" t="s">
        <v>1117</v>
      </c>
      <c r="F257" s="155" t="s">
        <v>1118</v>
      </c>
      <c r="G257" s="158" t="s">
        <v>1438</v>
      </c>
      <c r="H257" s="158" t="s">
        <v>1439</v>
      </c>
      <c r="I257" s="158" t="s">
        <v>1440</v>
      </c>
      <c r="J257" s="158" t="s">
        <v>1440</v>
      </c>
      <c r="K257" s="158" t="s">
        <v>156</v>
      </c>
      <c r="L257" s="158" t="s">
        <v>26</v>
      </c>
      <c r="M257" s="158" t="s">
        <v>157</v>
      </c>
      <c r="N257" s="158" t="s">
        <v>28</v>
      </c>
      <c r="O257" s="158" t="s">
        <v>29</v>
      </c>
      <c r="P257" s="158" t="s">
        <v>1441</v>
      </c>
    </row>
    <row r="258" spans="1:16" x14ac:dyDescent="0.25">
      <c r="A258" s="155" t="s">
        <v>1442</v>
      </c>
      <c r="B258" s="155" t="s">
        <v>1115</v>
      </c>
      <c r="C258" s="155" t="s">
        <v>1421</v>
      </c>
      <c r="D258" s="155" t="s">
        <v>1422</v>
      </c>
      <c r="E258" s="155" t="s">
        <v>1117</v>
      </c>
      <c r="F258" s="155" t="s">
        <v>1118</v>
      </c>
      <c r="G258" s="158" t="s">
        <v>1443</v>
      </c>
      <c r="H258" s="158" t="s">
        <v>1444</v>
      </c>
      <c r="I258" s="158" t="s">
        <v>1445</v>
      </c>
      <c r="J258" s="158" t="s">
        <v>1445</v>
      </c>
      <c r="K258" s="158" t="s">
        <v>37</v>
      </c>
      <c r="L258" s="158" t="s">
        <v>26</v>
      </c>
      <c r="M258" s="158" t="s">
        <v>38</v>
      </c>
      <c r="N258" s="158" t="s">
        <v>28</v>
      </c>
      <c r="O258" s="158" t="s">
        <v>39</v>
      </c>
      <c r="P258" s="158" t="s">
        <v>1446</v>
      </c>
    </row>
    <row r="259" spans="1:16" x14ac:dyDescent="0.25">
      <c r="A259" s="155" t="s">
        <v>1447</v>
      </c>
      <c r="B259" s="155" t="s">
        <v>1115</v>
      </c>
      <c r="C259" s="155" t="s">
        <v>1421</v>
      </c>
      <c r="D259" s="155" t="s">
        <v>1422</v>
      </c>
      <c r="E259" s="155" t="s">
        <v>1117</v>
      </c>
      <c r="F259" s="155" t="s">
        <v>1118</v>
      </c>
      <c r="G259" s="158" t="s">
        <v>1448</v>
      </c>
      <c r="H259" s="158" t="s">
        <v>1449</v>
      </c>
      <c r="I259" s="158" t="s">
        <v>1450</v>
      </c>
      <c r="J259" s="158" t="s">
        <v>1450</v>
      </c>
      <c r="K259" s="158" t="s">
        <v>861</v>
      </c>
      <c r="L259" s="158" t="s">
        <v>26</v>
      </c>
      <c r="M259" s="158" t="s">
        <v>862</v>
      </c>
      <c r="N259" s="158" t="s">
        <v>28</v>
      </c>
      <c r="O259" s="158" t="s">
        <v>29</v>
      </c>
      <c r="P259" s="158" t="s">
        <v>1451</v>
      </c>
    </row>
    <row r="260" spans="1:16" x14ac:dyDescent="0.25">
      <c r="A260" s="155" t="s">
        <v>1422</v>
      </c>
      <c r="B260" s="155" t="s">
        <v>1115</v>
      </c>
      <c r="C260" s="155" t="s">
        <v>1421</v>
      </c>
      <c r="D260" s="155" t="s">
        <v>1422</v>
      </c>
      <c r="E260" s="155" t="s">
        <v>1117</v>
      </c>
      <c r="F260" s="155" t="s">
        <v>1118</v>
      </c>
      <c r="G260" s="158" t="s">
        <v>1452</v>
      </c>
      <c r="H260" s="158" t="s">
        <v>1453</v>
      </c>
      <c r="I260" s="158" t="s">
        <v>1454</v>
      </c>
      <c r="J260" s="158" t="s">
        <v>1454</v>
      </c>
      <c r="K260" s="158" t="s">
        <v>867</v>
      </c>
      <c r="L260" s="158" t="s">
        <v>26</v>
      </c>
      <c r="M260" s="158" t="s">
        <v>868</v>
      </c>
      <c r="N260" s="158" t="s">
        <v>28</v>
      </c>
      <c r="O260" s="158" t="s">
        <v>29</v>
      </c>
      <c r="P260" s="158" t="s">
        <v>1455</v>
      </c>
    </row>
    <row r="261" spans="1:16" x14ac:dyDescent="0.25">
      <c r="A261" s="155" t="s">
        <v>1456</v>
      </c>
      <c r="B261" s="155" t="s">
        <v>1115</v>
      </c>
      <c r="C261" s="155" t="s">
        <v>1421</v>
      </c>
      <c r="D261" s="155" t="s">
        <v>1422</v>
      </c>
      <c r="E261" s="155" t="s">
        <v>1117</v>
      </c>
      <c r="F261" s="155" t="s">
        <v>1118</v>
      </c>
      <c r="G261" s="158" t="s">
        <v>1457</v>
      </c>
      <c r="H261" s="158" t="s">
        <v>1458</v>
      </c>
      <c r="I261" s="158" t="s">
        <v>1459</v>
      </c>
      <c r="J261" s="158" t="s">
        <v>1459</v>
      </c>
      <c r="K261" s="158" t="s">
        <v>874</v>
      </c>
      <c r="L261" s="158" t="s">
        <v>26</v>
      </c>
      <c r="M261" s="158" t="s">
        <v>875</v>
      </c>
      <c r="N261" s="158" t="s">
        <v>28</v>
      </c>
      <c r="O261" s="158" t="s">
        <v>29</v>
      </c>
      <c r="P261" s="158" t="s">
        <v>1460</v>
      </c>
    </row>
    <row r="262" spans="1:16" x14ac:dyDescent="0.25">
      <c r="A262" s="155" t="s">
        <v>1461</v>
      </c>
      <c r="B262" s="155" t="s">
        <v>1115</v>
      </c>
      <c r="C262" s="155" t="s">
        <v>1421</v>
      </c>
      <c r="D262" s="155" t="s">
        <v>1422</v>
      </c>
      <c r="E262" s="155" t="s">
        <v>1117</v>
      </c>
      <c r="F262" s="155" t="s">
        <v>1118</v>
      </c>
      <c r="G262" s="158" t="s">
        <v>1462</v>
      </c>
      <c r="H262" s="158" t="s">
        <v>1463</v>
      </c>
      <c r="I262" s="158" t="s">
        <v>1464</v>
      </c>
      <c r="J262" s="158" t="s">
        <v>1464</v>
      </c>
      <c r="K262" s="158" t="s">
        <v>71</v>
      </c>
      <c r="L262" s="158" t="s">
        <v>26</v>
      </c>
      <c r="M262" s="158" t="s">
        <v>72</v>
      </c>
      <c r="N262" s="158" t="s">
        <v>28</v>
      </c>
      <c r="O262" s="158" t="s">
        <v>29</v>
      </c>
      <c r="P262" s="158" t="s">
        <v>1465</v>
      </c>
    </row>
    <row r="263" spans="1:16" x14ac:dyDescent="0.25">
      <c r="A263" s="155" t="s">
        <v>1466</v>
      </c>
      <c r="B263" s="155" t="s">
        <v>1115</v>
      </c>
      <c r="C263" s="155" t="s">
        <v>1421</v>
      </c>
      <c r="D263" s="155" t="s">
        <v>1422</v>
      </c>
      <c r="E263" s="155" t="s">
        <v>1117</v>
      </c>
      <c r="F263" s="155" t="s">
        <v>1118</v>
      </c>
      <c r="G263" s="158" t="s">
        <v>1467</v>
      </c>
      <c r="H263" s="158" t="s">
        <v>1468</v>
      </c>
      <c r="I263" s="158" t="s">
        <v>1469</v>
      </c>
      <c r="J263" s="158" t="s">
        <v>1469</v>
      </c>
      <c r="K263" s="158" t="s">
        <v>71</v>
      </c>
      <c r="L263" s="158" t="s">
        <v>26</v>
      </c>
      <c r="M263" s="158" t="s">
        <v>72</v>
      </c>
      <c r="N263" s="158" t="s">
        <v>28</v>
      </c>
      <c r="O263" s="158" t="s">
        <v>29</v>
      </c>
      <c r="P263" s="158" t="s">
        <v>1470</v>
      </c>
    </row>
    <row r="264" spans="1:16" x14ac:dyDescent="0.25">
      <c r="A264" s="155" t="s">
        <v>1471</v>
      </c>
      <c r="B264" s="155" t="s">
        <v>1115</v>
      </c>
      <c r="C264" s="155" t="s">
        <v>1421</v>
      </c>
      <c r="D264" s="155" t="s">
        <v>1422</v>
      </c>
      <c r="E264" s="155" t="s">
        <v>1117</v>
      </c>
      <c r="F264" s="155" t="s">
        <v>1118</v>
      </c>
      <c r="G264" s="158" t="s">
        <v>1472</v>
      </c>
      <c r="H264" s="158" t="s">
        <v>1473</v>
      </c>
      <c r="I264" s="158" t="s">
        <v>1474</v>
      </c>
      <c r="J264" s="158" t="s">
        <v>1474</v>
      </c>
      <c r="K264" s="158" t="s">
        <v>71</v>
      </c>
      <c r="L264" s="158" t="s">
        <v>26</v>
      </c>
      <c r="M264" s="158" t="s">
        <v>72</v>
      </c>
      <c r="N264" s="158" t="s">
        <v>28</v>
      </c>
      <c r="O264" s="158" t="s">
        <v>29</v>
      </c>
      <c r="P264" s="158" t="s">
        <v>1475</v>
      </c>
    </row>
    <row r="265" spans="1:16" x14ac:dyDescent="0.25">
      <c r="A265" s="155" t="s">
        <v>1476</v>
      </c>
      <c r="B265" s="155" t="s">
        <v>1115</v>
      </c>
      <c r="C265" s="155" t="s">
        <v>1421</v>
      </c>
      <c r="D265" s="155" t="s">
        <v>1422</v>
      </c>
      <c r="E265" s="155" t="s">
        <v>1117</v>
      </c>
      <c r="F265" s="155" t="s">
        <v>1118</v>
      </c>
      <c r="G265" s="158" t="s">
        <v>1477</v>
      </c>
      <c r="H265" s="158" t="s">
        <v>1478</v>
      </c>
      <c r="I265" s="158" t="s">
        <v>1479</v>
      </c>
      <c r="J265" s="158" t="s">
        <v>1479</v>
      </c>
      <c r="K265" s="158" t="s">
        <v>71</v>
      </c>
      <c r="L265" s="158" t="s">
        <v>26</v>
      </c>
      <c r="M265" s="158" t="s">
        <v>72</v>
      </c>
      <c r="N265" s="158" t="s">
        <v>28</v>
      </c>
      <c r="O265" s="158" t="s">
        <v>29</v>
      </c>
      <c r="P265" s="158" t="s">
        <v>1480</v>
      </c>
    </row>
    <row r="266" spans="1:16" x14ac:dyDescent="0.25">
      <c r="A266" s="155" t="s">
        <v>1481</v>
      </c>
      <c r="B266" s="155" t="s">
        <v>1115</v>
      </c>
      <c r="C266" s="155" t="s">
        <v>1421</v>
      </c>
      <c r="D266" s="155" t="s">
        <v>1422</v>
      </c>
      <c r="E266" s="155" t="s">
        <v>1117</v>
      </c>
      <c r="F266" s="155" t="s">
        <v>1118</v>
      </c>
      <c r="G266" s="158" t="s">
        <v>1482</v>
      </c>
      <c r="H266" s="158" t="s">
        <v>1483</v>
      </c>
      <c r="I266" s="158" t="s">
        <v>1484</v>
      </c>
      <c r="J266" s="158" t="s">
        <v>1484</v>
      </c>
      <c r="K266" s="158" t="s">
        <v>71</v>
      </c>
      <c r="L266" s="158" t="s">
        <v>26</v>
      </c>
      <c r="M266" s="158" t="s">
        <v>72</v>
      </c>
      <c r="N266" s="158" t="s">
        <v>28</v>
      </c>
      <c r="O266" s="158" t="s">
        <v>29</v>
      </c>
      <c r="P266" s="158" t="s">
        <v>1485</v>
      </c>
    </row>
    <row r="267" spans="1:16" x14ac:dyDescent="0.25">
      <c r="A267" s="155" t="s">
        <v>1486</v>
      </c>
      <c r="B267" s="155" t="s">
        <v>1115</v>
      </c>
      <c r="C267" s="155" t="s">
        <v>1421</v>
      </c>
      <c r="D267" s="155" t="s">
        <v>1422</v>
      </c>
      <c r="E267" s="155" t="s">
        <v>1117</v>
      </c>
      <c r="F267" s="155" t="s">
        <v>1118</v>
      </c>
      <c r="G267" s="158" t="s">
        <v>1487</v>
      </c>
      <c r="H267" s="158" t="s">
        <v>1488</v>
      </c>
      <c r="I267" s="158" t="s">
        <v>1489</v>
      </c>
      <c r="J267" s="158" t="s">
        <v>1489</v>
      </c>
      <c r="K267" s="158" t="s">
        <v>71</v>
      </c>
      <c r="L267" s="158" t="s">
        <v>26</v>
      </c>
      <c r="M267" s="158" t="s">
        <v>72</v>
      </c>
      <c r="N267" s="158" t="s">
        <v>28</v>
      </c>
      <c r="O267" s="158" t="s">
        <v>29</v>
      </c>
      <c r="P267" s="158" t="s">
        <v>1490</v>
      </c>
    </row>
    <row r="268" spans="1:16" x14ac:dyDescent="0.25">
      <c r="A268" s="155" t="s">
        <v>1491</v>
      </c>
      <c r="B268" s="155" t="s">
        <v>1115</v>
      </c>
      <c r="C268" s="155" t="s">
        <v>1421</v>
      </c>
      <c r="D268" s="155" t="s">
        <v>1422</v>
      </c>
      <c r="E268" s="155" t="s">
        <v>1117</v>
      </c>
      <c r="F268" s="155" t="s">
        <v>1118</v>
      </c>
      <c r="G268" s="158" t="s">
        <v>1492</v>
      </c>
      <c r="H268" s="158" t="s">
        <v>1493</v>
      </c>
      <c r="I268" s="158" t="s">
        <v>1494</v>
      </c>
      <c r="J268" s="158" t="s">
        <v>1494</v>
      </c>
      <c r="K268" s="158" t="s">
        <v>59</v>
      </c>
      <c r="L268" s="158" t="s">
        <v>26</v>
      </c>
      <c r="M268" s="158" t="s">
        <v>60</v>
      </c>
      <c r="N268" s="158" t="s">
        <v>28</v>
      </c>
      <c r="O268" s="158" t="s">
        <v>29</v>
      </c>
      <c r="P268" s="158" t="s">
        <v>1495</v>
      </c>
    </row>
    <row r="269" spans="1:16" x14ac:dyDescent="0.25">
      <c r="A269" s="155" t="s">
        <v>1496</v>
      </c>
      <c r="B269" s="155" t="s">
        <v>1115</v>
      </c>
      <c r="C269" s="155" t="s">
        <v>1421</v>
      </c>
      <c r="D269" s="155" t="s">
        <v>1422</v>
      </c>
      <c r="E269" s="155" t="s">
        <v>1117</v>
      </c>
      <c r="F269" s="155" t="s">
        <v>1118</v>
      </c>
      <c r="G269" s="158" t="s">
        <v>1497</v>
      </c>
      <c r="H269" s="158" t="s">
        <v>1498</v>
      </c>
      <c r="I269" s="158" t="s">
        <v>1499</v>
      </c>
      <c r="J269" s="158" t="s">
        <v>1499</v>
      </c>
      <c r="K269" s="158" t="s">
        <v>71</v>
      </c>
      <c r="L269" s="158" t="s">
        <v>26</v>
      </c>
      <c r="M269" s="158" t="s">
        <v>72</v>
      </c>
      <c r="N269" s="158" t="s">
        <v>28</v>
      </c>
      <c r="O269" s="158" t="s">
        <v>29</v>
      </c>
      <c r="P269" s="158" t="s">
        <v>1500</v>
      </c>
    </row>
    <row r="270" spans="1:16" x14ac:dyDescent="0.25">
      <c r="A270" s="155" t="s">
        <v>1501</v>
      </c>
      <c r="B270" s="155" t="s">
        <v>1115</v>
      </c>
      <c r="C270" s="155" t="s">
        <v>1502</v>
      </c>
      <c r="D270" s="155" t="s">
        <v>1503</v>
      </c>
      <c r="E270" s="155" t="s">
        <v>1117</v>
      </c>
      <c r="F270" s="155" t="s">
        <v>1118</v>
      </c>
      <c r="G270" s="158" t="s">
        <v>1504</v>
      </c>
      <c r="H270" s="158" t="s">
        <v>1505</v>
      </c>
      <c r="I270" s="158" t="s">
        <v>1506</v>
      </c>
      <c r="J270" s="158" t="s">
        <v>1506</v>
      </c>
      <c r="K270" s="158" t="s">
        <v>71</v>
      </c>
      <c r="L270" s="158" t="s">
        <v>26</v>
      </c>
      <c r="M270" s="158" t="s">
        <v>72</v>
      </c>
      <c r="N270" s="158" t="s">
        <v>28</v>
      </c>
      <c r="O270" s="158" t="s">
        <v>29</v>
      </c>
      <c r="P270" s="158" t="s">
        <v>1507</v>
      </c>
    </row>
    <row r="271" spans="1:16" x14ac:dyDescent="0.25">
      <c r="A271" s="155" t="s">
        <v>1508</v>
      </c>
      <c r="B271" s="155" t="s">
        <v>1115</v>
      </c>
      <c r="C271" s="155" t="s">
        <v>1502</v>
      </c>
      <c r="D271" s="155" t="s">
        <v>1503</v>
      </c>
      <c r="E271" s="155" t="s">
        <v>1117</v>
      </c>
      <c r="F271" s="155" t="s">
        <v>1118</v>
      </c>
      <c r="G271" s="158" t="s">
        <v>1509</v>
      </c>
      <c r="H271" s="158" t="s">
        <v>1510</v>
      </c>
      <c r="I271" s="158" t="s">
        <v>1511</v>
      </c>
      <c r="J271" s="158" t="s">
        <v>1511</v>
      </c>
      <c r="K271" s="158" t="s">
        <v>37</v>
      </c>
      <c r="L271" s="158" t="s">
        <v>26</v>
      </c>
      <c r="M271" s="158" t="s">
        <v>38</v>
      </c>
      <c r="N271" s="158" t="s">
        <v>28</v>
      </c>
      <c r="O271" s="158" t="s">
        <v>39</v>
      </c>
      <c r="P271" s="158" t="s">
        <v>1512</v>
      </c>
    </row>
    <row r="272" spans="1:16" x14ac:dyDescent="0.25">
      <c r="A272" s="155" t="s">
        <v>1503</v>
      </c>
      <c r="B272" s="155" t="s">
        <v>1115</v>
      </c>
      <c r="C272" s="155" t="s">
        <v>1502</v>
      </c>
      <c r="D272" s="155" t="s">
        <v>1503</v>
      </c>
      <c r="E272" s="155" t="s">
        <v>1117</v>
      </c>
      <c r="F272" s="155" t="s">
        <v>1118</v>
      </c>
      <c r="G272" s="158" t="s">
        <v>1513</v>
      </c>
      <c r="H272" s="158" t="s">
        <v>1514</v>
      </c>
      <c r="I272" s="158" t="s">
        <v>1515</v>
      </c>
      <c r="J272" s="158" t="s">
        <v>1515</v>
      </c>
      <c r="K272" s="158" t="s">
        <v>37</v>
      </c>
      <c r="L272" s="158" t="s">
        <v>26</v>
      </c>
      <c r="M272" s="158" t="s">
        <v>38</v>
      </c>
      <c r="N272" s="158" t="s">
        <v>28</v>
      </c>
      <c r="O272" s="158" t="s">
        <v>39</v>
      </c>
      <c r="P272" s="158" t="s">
        <v>1516</v>
      </c>
    </row>
    <row r="273" spans="1:16" x14ac:dyDescent="0.25">
      <c r="A273" s="155" t="s">
        <v>1517</v>
      </c>
      <c r="B273" s="155" t="s">
        <v>1115</v>
      </c>
      <c r="C273" s="155" t="s">
        <v>1502</v>
      </c>
      <c r="D273" s="155" t="s">
        <v>1503</v>
      </c>
      <c r="E273" s="155" t="s">
        <v>1117</v>
      </c>
      <c r="F273" s="155" t="s">
        <v>1118</v>
      </c>
      <c r="G273" s="158" t="s">
        <v>1518</v>
      </c>
      <c r="H273" s="158" t="s">
        <v>1519</v>
      </c>
      <c r="I273" s="158" t="s">
        <v>1520</v>
      </c>
      <c r="J273" s="158" t="s">
        <v>1520</v>
      </c>
      <c r="K273" s="158" t="s">
        <v>71</v>
      </c>
      <c r="L273" s="158" t="s">
        <v>26</v>
      </c>
      <c r="M273" s="158" t="s">
        <v>72</v>
      </c>
      <c r="N273" s="158" t="s">
        <v>28</v>
      </c>
      <c r="O273" s="158" t="s">
        <v>29</v>
      </c>
      <c r="P273" s="158" t="s">
        <v>1521</v>
      </c>
    </row>
    <row r="274" spans="1:16" x14ac:dyDescent="0.25">
      <c r="A274" s="155" t="s">
        <v>1522</v>
      </c>
      <c r="B274" s="155" t="s">
        <v>1115</v>
      </c>
      <c r="C274" s="155" t="s">
        <v>1502</v>
      </c>
      <c r="D274" s="155" t="s">
        <v>1503</v>
      </c>
      <c r="E274" s="155" t="s">
        <v>1117</v>
      </c>
      <c r="F274" s="155" t="s">
        <v>1118</v>
      </c>
      <c r="G274" s="158" t="s">
        <v>1523</v>
      </c>
      <c r="H274" s="158" t="s">
        <v>1524</v>
      </c>
      <c r="I274" s="158" t="s">
        <v>1525</v>
      </c>
      <c r="J274" s="158" t="s">
        <v>1525</v>
      </c>
      <c r="K274" s="158" t="s">
        <v>71</v>
      </c>
      <c r="L274" s="158" t="s">
        <v>26</v>
      </c>
      <c r="M274" s="158" t="s">
        <v>72</v>
      </c>
      <c r="N274" s="158" t="s">
        <v>28</v>
      </c>
      <c r="O274" s="158" t="s">
        <v>29</v>
      </c>
      <c r="P274" s="158" t="s">
        <v>1526</v>
      </c>
    </row>
    <row r="275" spans="1:16" x14ac:dyDescent="0.25">
      <c r="A275" s="155" t="s">
        <v>1527</v>
      </c>
      <c r="B275" s="155" t="s">
        <v>1115</v>
      </c>
      <c r="C275" s="155" t="s">
        <v>1502</v>
      </c>
      <c r="D275" s="155" t="s">
        <v>1503</v>
      </c>
      <c r="E275" s="155" t="s">
        <v>1117</v>
      </c>
      <c r="F275" s="155" t="s">
        <v>1118</v>
      </c>
      <c r="G275" s="158" t="s">
        <v>1528</v>
      </c>
      <c r="H275" s="158" t="s">
        <v>1529</v>
      </c>
      <c r="I275" s="158" t="s">
        <v>1530</v>
      </c>
      <c r="J275" s="158" t="s">
        <v>1530</v>
      </c>
      <c r="K275" s="158" t="s">
        <v>71</v>
      </c>
      <c r="L275" s="158" t="s">
        <v>26</v>
      </c>
      <c r="M275" s="158" t="s">
        <v>72</v>
      </c>
      <c r="N275" s="158" t="s">
        <v>28</v>
      </c>
      <c r="O275" s="158" t="s">
        <v>29</v>
      </c>
      <c r="P275" s="158" t="s">
        <v>1531</v>
      </c>
    </row>
    <row r="276" spans="1:16" x14ac:dyDescent="0.25">
      <c r="A276" s="155" t="s">
        <v>1532</v>
      </c>
      <c r="B276" s="155" t="s">
        <v>1115</v>
      </c>
      <c r="C276" s="155" t="s">
        <v>1533</v>
      </c>
      <c r="D276" s="155" t="s">
        <v>1522</v>
      </c>
      <c r="E276" s="155" t="s">
        <v>1117</v>
      </c>
      <c r="F276" s="155" t="s">
        <v>1118</v>
      </c>
      <c r="G276" s="158" t="s">
        <v>1534</v>
      </c>
      <c r="H276" s="158" t="s">
        <v>1535</v>
      </c>
      <c r="I276" s="158" t="s">
        <v>1536</v>
      </c>
      <c r="J276" s="158" t="s">
        <v>1536</v>
      </c>
      <c r="K276" s="158" t="s">
        <v>358</v>
      </c>
      <c r="L276" s="158" t="s">
        <v>26</v>
      </c>
      <c r="M276" s="158" t="s">
        <v>359</v>
      </c>
      <c r="N276" s="158" t="s">
        <v>28</v>
      </c>
      <c r="O276" s="158" t="s">
        <v>39</v>
      </c>
      <c r="P276" s="158" t="s">
        <v>1537</v>
      </c>
    </row>
    <row r="277" spans="1:16" x14ac:dyDescent="0.25">
      <c r="A277" s="155" t="s">
        <v>1538</v>
      </c>
      <c r="B277" s="155" t="s">
        <v>1115</v>
      </c>
      <c r="C277" s="155" t="s">
        <v>1539</v>
      </c>
      <c r="D277" s="155" t="s">
        <v>1538</v>
      </c>
      <c r="E277" s="155" t="s">
        <v>1117</v>
      </c>
      <c r="F277" s="155" t="s">
        <v>1118</v>
      </c>
      <c r="G277" s="158" t="s">
        <v>1540</v>
      </c>
      <c r="H277" s="158" t="s">
        <v>1541</v>
      </c>
      <c r="I277" s="158" t="s">
        <v>1542</v>
      </c>
      <c r="J277" s="158" t="s">
        <v>1542</v>
      </c>
      <c r="K277" s="158" t="s">
        <v>372</v>
      </c>
      <c r="L277" s="158" t="s">
        <v>373</v>
      </c>
      <c r="M277" s="158" t="s">
        <v>374</v>
      </c>
      <c r="N277" s="158" t="s">
        <v>28</v>
      </c>
      <c r="O277" s="158" t="s">
        <v>375</v>
      </c>
      <c r="P277" s="158" t="s">
        <v>1543</v>
      </c>
    </row>
    <row r="278" spans="1:16" x14ac:dyDescent="0.25">
      <c r="A278" s="155" t="s">
        <v>1544</v>
      </c>
      <c r="B278" s="155" t="s">
        <v>1115</v>
      </c>
      <c r="C278" s="155" t="s">
        <v>1545</v>
      </c>
      <c r="D278" s="155" t="s">
        <v>1538</v>
      </c>
      <c r="E278" s="155" t="s">
        <v>1117</v>
      </c>
      <c r="F278" s="155" t="s">
        <v>1118</v>
      </c>
      <c r="G278" s="158" t="s">
        <v>1546</v>
      </c>
      <c r="H278" s="158" t="s">
        <v>1547</v>
      </c>
      <c r="I278" s="158" t="s">
        <v>1548</v>
      </c>
      <c r="J278" s="158" t="s">
        <v>1548</v>
      </c>
      <c r="K278" s="158" t="s">
        <v>220</v>
      </c>
      <c r="L278" s="158" t="s">
        <v>26</v>
      </c>
      <c r="M278" s="158" t="s">
        <v>221</v>
      </c>
      <c r="N278" s="158" t="s">
        <v>28</v>
      </c>
      <c r="O278" s="158" t="s">
        <v>222</v>
      </c>
      <c r="P278" s="158" t="s">
        <v>1549</v>
      </c>
    </row>
    <row r="279" spans="1:16" x14ac:dyDescent="0.25">
      <c r="A279" s="155" t="s">
        <v>1550</v>
      </c>
      <c r="B279" s="155" t="s">
        <v>1115</v>
      </c>
      <c r="C279" s="155" t="s">
        <v>1551</v>
      </c>
      <c r="D279" s="155" t="s">
        <v>1550</v>
      </c>
      <c r="E279" s="155" t="s">
        <v>1117</v>
      </c>
      <c r="F279" s="155" t="s">
        <v>1118</v>
      </c>
      <c r="G279" s="158" t="s">
        <v>1552</v>
      </c>
      <c r="H279" s="158" t="s">
        <v>1553</v>
      </c>
      <c r="I279" s="158" t="s">
        <v>1554</v>
      </c>
      <c r="J279" s="158" t="s">
        <v>1554</v>
      </c>
      <c r="K279" s="158" t="s">
        <v>383</v>
      </c>
      <c r="L279" s="158" t="s">
        <v>26</v>
      </c>
      <c r="M279" s="158" t="s">
        <v>384</v>
      </c>
      <c r="N279" s="158" t="s">
        <v>385</v>
      </c>
      <c r="O279" s="158" t="s">
        <v>386</v>
      </c>
      <c r="P279" s="158" t="s">
        <v>1555</v>
      </c>
    </row>
    <row r="280" spans="1:16" x14ac:dyDescent="0.25">
      <c r="A280" s="155" t="s">
        <v>1556</v>
      </c>
      <c r="B280" s="155" t="s">
        <v>1115</v>
      </c>
      <c r="C280" s="155" t="s">
        <v>1557</v>
      </c>
      <c r="D280" s="155" t="s">
        <v>1558</v>
      </c>
      <c r="E280" s="155" t="s">
        <v>1117</v>
      </c>
      <c r="F280" s="155" t="s">
        <v>1118</v>
      </c>
      <c r="G280" s="158" t="s">
        <v>1559</v>
      </c>
      <c r="H280" s="158" t="s">
        <v>1560</v>
      </c>
      <c r="I280" s="158" t="s">
        <v>1561</v>
      </c>
      <c r="J280" s="158" t="s">
        <v>1561</v>
      </c>
      <c r="K280" s="158" t="s">
        <v>383</v>
      </c>
      <c r="L280" s="158" t="s">
        <v>26</v>
      </c>
      <c r="M280" s="158" t="s">
        <v>384</v>
      </c>
      <c r="N280" s="158" t="s">
        <v>385</v>
      </c>
      <c r="O280" s="158" t="s">
        <v>386</v>
      </c>
      <c r="P280" s="158" t="s">
        <v>1562</v>
      </c>
    </row>
    <row r="281" spans="1:16" x14ac:dyDescent="0.25">
      <c r="A281" s="155" t="s">
        <v>1563</v>
      </c>
      <c r="B281" s="155" t="s">
        <v>1115</v>
      </c>
      <c r="C281" s="155" t="s">
        <v>1564</v>
      </c>
      <c r="D281" s="155" t="s">
        <v>1563</v>
      </c>
      <c r="E281" s="155" t="s">
        <v>1117</v>
      </c>
      <c r="F281" s="155" t="s">
        <v>1118</v>
      </c>
      <c r="G281" s="158" t="s">
        <v>1565</v>
      </c>
      <c r="H281" s="158" t="s">
        <v>1566</v>
      </c>
      <c r="I281" s="158" t="s">
        <v>1567</v>
      </c>
      <c r="J281" s="158" t="s">
        <v>1567</v>
      </c>
      <c r="K281" s="158" t="s">
        <v>220</v>
      </c>
      <c r="L281" s="158" t="s">
        <v>26</v>
      </c>
      <c r="M281" s="158" t="s">
        <v>221</v>
      </c>
      <c r="N281" s="158" t="s">
        <v>28</v>
      </c>
      <c r="O281" s="158" t="s">
        <v>222</v>
      </c>
      <c r="P281" s="158" t="s">
        <v>1568</v>
      </c>
    </row>
    <row r="282" spans="1:16" x14ac:dyDescent="0.25">
      <c r="A282" s="155" t="s">
        <v>1569</v>
      </c>
      <c r="B282" s="155" t="s">
        <v>1115</v>
      </c>
      <c r="C282" s="155" t="s">
        <v>1533</v>
      </c>
      <c r="D282" s="155" t="s">
        <v>1569</v>
      </c>
      <c r="E282" s="155" t="s">
        <v>1117</v>
      </c>
      <c r="F282" s="155" t="s">
        <v>1118</v>
      </c>
      <c r="G282" s="158" t="s">
        <v>1570</v>
      </c>
      <c r="H282" s="158" t="s">
        <v>1571</v>
      </c>
      <c r="I282" s="158" t="s">
        <v>1572</v>
      </c>
      <c r="J282" s="158" t="s">
        <v>1572</v>
      </c>
      <c r="K282" s="158" t="s">
        <v>220</v>
      </c>
      <c r="L282" s="158" t="s">
        <v>26</v>
      </c>
      <c r="M282" s="158" t="s">
        <v>221</v>
      </c>
      <c r="N282" s="158" t="s">
        <v>28</v>
      </c>
      <c r="O282" s="158" t="s">
        <v>222</v>
      </c>
      <c r="P282" s="158" t="s">
        <v>1573</v>
      </c>
    </row>
    <row r="283" spans="1:16" x14ac:dyDescent="0.25">
      <c r="A283" s="155" t="s">
        <v>1574</v>
      </c>
      <c r="B283" s="155" t="s">
        <v>1115</v>
      </c>
      <c r="C283" s="155" t="s">
        <v>1575</v>
      </c>
      <c r="D283" s="155" t="s">
        <v>1574</v>
      </c>
      <c r="E283" s="155" t="s">
        <v>1117</v>
      </c>
      <c r="F283" s="155" t="s">
        <v>1118</v>
      </c>
      <c r="G283" s="158" t="s">
        <v>1576</v>
      </c>
      <c r="H283" s="158" t="s">
        <v>1577</v>
      </c>
      <c r="I283" s="158" t="s">
        <v>1578</v>
      </c>
      <c r="J283" s="158" t="s">
        <v>1578</v>
      </c>
      <c r="K283" s="158" t="s">
        <v>220</v>
      </c>
      <c r="L283" s="158" t="s">
        <v>26</v>
      </c>
      <c r="M283" s="158" t="s">
        <v>221</v>
      </c>
      <c r="N283" s="158" t="s">
        <v>28</v>
      </c>
      <c r="O283" s="158" t="s">
        <v>222</v>
      </c>
      <c r="P283" s="158" t="s">
        <v>1579</v>
      </c>
    </row>
    <row r="284" spans="1:16" x14ac:dyDescent="0.25">
      <c r="A284" s="155" t="s">
        <v>1580</v>
      </c>
      <c r="B284" s="155" t="s">
        <v>1115</v>
      </c>
      <c r="C284" s="155" t="s">
        <v>1581</v>
      </c>
      <c r="D284" s="155" t="s">
        <v>1580</v>
      </c>
      <c r="E284" s="155" t="s">
        <v>1117</v>
      </c>
      <c r="F284" s="155" t="s">
        <v>1118</v>
      </c>
      <c r="G284" s="158" t="s">
        <v>1582</v>
      </c>
      <c r="H284" s="158" t="s">
        <v>1583</v>
      </c>
      <c r="I284" s="158" t="s">
        <v>1584</v>
      </c>
      <c r="J284" s="158" t="s">
        <v>1584</v>
      </c>
      <c r="K284" s="158" t="s">
        <v>220</v>
      </c>
      <c r="L284" s="158" t="s">
        <v>26</v>
      </c>
      <c r="M284" s="158" t="s">
        <v>221</v>
      </c>
      <c r="N284" s="158" t="s">
        <v>28</v>
      </c>
      <c r="O284" s="158" t="s">
        <v>222</v>
      </c>
      <c r="P284" s="158" t="s">
        <v>1585</v>
      </c>
    </row>
    <row r="285" spans="1:16" x14ac:dyDescent="0.25">
      <c r="A285" s="155" t="s">
        <v>1586</v>
      </c>
      <c r="B285" s="155" t="s">
        <v>1115</v>
      </c>
      <c r="C285" s="155" t="s">
        <v>1587</v>
      </c>
      <c r="D285" s="155" t="s">
        <v>1586</v>
      </c>
      <c r="E285" s="155" t="s">
        <v>1117</v>
      </c>
      <c r="F285" s="155" t="s">
        <v>1118</v>
      </c>
      <c r="G285" s="158" t="s">
        <v>1588</v>
      </c>
      <c r="H285" s="158" t="s">
        <v>1589</v>
      </c>
      <c r="I285" s="158" t="s">
        <v>1590</v>
      </c>
      <c r="J285" s="158" t="s">
        <v>1590</v>
      </c>
      <c r="K285" s="158" t="s">
        <v>220</v>
      </c>
      <c r="L285" s="158" t="s">
        <v>26</v>
      </c>
      <c r="M285" s="158" t="s">
        <v>221</v>
      </c>
      <c r="N285" s="158" t="s">
        <v>28</v>
      </c>
      <c r="O285" s="158" t="s">
        <v>222</v>
      </c>
      <c r="P285" s="158" t="s">
        <v>1591</v>
      </c>
    </row>
    <row r="286" spans="1:16" x14ac:dyDescent="0.25">
      <c r="A286" s="155" t="s">
        <v>1592</v>
      </c>
      <c r="B286" s="155" t="s">
        <v>1115</v>
      </c>
      <c r="C286" s="155" t="s">
        <v>1015</v>
      </c>
      <c r="D286" s="155" t="s">
        <v>1015</v>
      </c>
      <c r="E286" s="155" t="s">
        <v>1015</v>
      </c>
      <c r="F286" s="155" t="s">
        <v>1015</v>
      </c>
      <c r="G286" s="158" t="s">
        <v>1593</v>
      </c>
      <c r="H286" s="158" t="s">
        <v>1594</v>
      </c>
      <c r="I286" s="158" t="s">
        <v>1595</v>
      </c>
      <c r="J286" s="158" t="s">
        <v>1595</v>
      </c>
      <c r="K286" s="158" t="s">
        <v>1019</v>
      </c>
      <c r="L286" s="158" t="s">
        <v>26</v>
      </c>
      <c r="M286" s="158" t="s">
        <v>1020</v>
      </c>
      <c r="N286" s="158" t="s">
        <v>28</v>
      </c>
      <c r="O286" s="158" t="s">
        <v>1021</v>
      </c>
      <c r="P286" s="158" t="s">
        <v>1596</v>
      </c>
    </row>
    <row r="287" spans="1:16" x14ac:dyDescent="0.25">
      <c r="A287" s="155" t="s">
        <v>1597</v>
      </c>
      <c r="B287" s="155" t="s">
        <v>1115</v>
      </c>
      <c r="C287" s="155" t="s">
        <v>1015</v>
      </c>
      <c r="D287" s="155" t="s">
        <v>1015</v>
      </c>
      <c r="E287" s="155" t="s">
        <v>1015</v>
      </c>
      <c r="F287" s="155" t="s">
        <v>1015</v>
      </c>
      <c r="G287" s="158" t="s">
        <v>1598</v>
      </c>
      <c r="H287" s="158" t="s">
        <v>1599</v>
      </c>
      <c r="I287" s="158" t="s">
        <v>1600</v>
      </c>
      <c r="J287" s="158" t="s">
        <v>1600</v>
      </c>
      <c r="K287" s="158" t="s">
        <v>1019</v>
      </c>
      <c r="L287" s="158" t="s">
        <v>26</v>
      </c>
      <c r="M287" s="158" t="s">
        <v>1020</v>
      </c>
      <c r="N287" s="158" t="s">
        <v>28</v>
      </c>
      <c r="O287" s="158" t="s">
        <v>1021</v>
      </c>
      <c r="P287" s="158" t="s">
        <v>1601</v>
      </c>
    </row>
    <row r="288" spans="1:16" x14ac:dyDescent="0.25">
      <c r="A288" s="155" t="s">
        <v>1602</v>
      </c>
      <c r="B288" s="155" t="s">
        <v>1115</v>
      </c>
      <c r="C288" s="155" t="s">
        <v>1015</v>
      </c>
      <c r="D288" s="155" t="s">
        <v>1015</v>
      </c>
      <c r="E288" s="155" t="s">
        <v>1015</v>
      </c>
      <c r="F288" s="155" t="s">
        <v>1015</v>
      </c>
      <c r="G288" s="158" t="s">
        <v>1603</v>
      </c>
      <c r="H288" s="158" t="s">
        <v>1604</v>
      </c>
      <c r="I288" s="158" t="s">
        <v>1605</v>
      </c>
      <c r="J288" s="158" t="s">
        <v>1605</v>
      </c>
      <c r="K288" s="158" t="s">
        <v>1019</v>
      </c>
      <c r="L288" s="158" t="s">
        <v>26</v>
      </c>
      <c r="M288" s="158" t="s">
        <v>1020</v>
      </c>
      <c r="N288" s="158" t="s">
        <v>28</v>
      </c>
      <c r="O288" s="158" t="s">
        <v>1021</v>
      </c>
      <c r="P288" s="158" t="s">
        <v>1606</v>
      </c>
    </row>
    <row r="289" spans="1:16" x14ac:dyDescent="0.25">
      <c r="A289" s="155" t="s">
        <v>1607</v>
      </c>
      <c r="B289" s="155" t="s">
        <v>1115</v>
      </c>
      <c r="C289" s="155" t="s">
        <v>1015</v>
      </c>
      <c r="D289" s="155" t="s">
        <v>1015</v>
      </c>
      <c r="E289" s="155" t="s">
        <v>1015</v>
      </c>
      <c r="F289" s="155" t="s">
        <v>1015</v>
      </c>
      <c r="G289" s="158" t="s">
        <v>1608</v>
      </c>
      <c r="H289" s="158" t="s">
        <v>1609</v>
      </c>
      <c r="I289" s="158" t="s">
        <v>1610</v>
      </c>
      <c r="J289" s="158" t="s">
        <v>1610</v>
      </c>
      <c r="K289" s="158" t="s">
        <v>1019</v>
      </c>
      <c r="L289" s="158" t="s">
        <v>26</v>
      </c>
      <c r="M289" s="158" t="s">
        <v>1020</v>
      </c>
      <c r="N289" s="158" t="s">
        <v>28</v>
      </c>
      <c r="O289" s="158" t="s">
        <v>1021</v>
      </c>
      <c r="P289" s="158" t="s">
        <v>1611</v>
      </c>
    </row>
    <row r="290" spans="1:16" x14ac:dyDescent="0.25">
      <c r="A290" s="155" t="s">
        <v>1612</v>
      </c>
      <c r="B290" s="155" t="s">
        <v>1115</v>
      </c>
      <c r="C290" s="155" t="s">
        <v>1613</v>
      </c>
      <c r="D290" s="155" t="s">
        <v>1614</v>
      </c>
      <c r="E290" s="155" t="s">
        <v>1117</v>
      </c>
      <c r="F290" s="155" t="s">
        <v>1118</v>
      </c>
      <c r="G290" s="158" t="s">
        <v>1615</v>
      </c>
      <c r="H290" s="158" t="s">
        <v>1616</v>
      </c>
      <c r="I290" s="158" t="s">
        <v>1617</v>
      </c>
      <c r="J290" s="158" t="s">
        <v>1617</v>
      </c>
      <c r="K290" s="158" t="s">
        <v>71</v>
      </c>
      <c r="L290" s="158" t="s">
        <v>26</v>
      </c>
      <c r="M290" s="158" t="s">
        <v>72</v>
      </c>
      <c r="N290" s="158" t="s">
        <v>28</v>
      </c>
      <c r="O290" s="158" t="s">
        <v>29</v>
      </c>
      <c r="P290" s="158" t="s">
        <v>1618</v>
      </c>
    </row>
    <row r="291" spans="1:16" x14ac:dyDescent="0.25">
      <c r="A291" s="155" t="s">
        <v>1558</v>
      </c>
      <c r="B291" s="155" t="s">
        <v>1115</v>
      </c>
      <c r="C291" s="155" t="s">
        <v>1613</v>
      </c>
      <c r="D291" s="155" t="s">
        <v>1614</v>
      </c>
      <c r="E291" s="155" t="s">
        <v>1117</v>
      </c>
      <c r="F291" s="155" t="s">
        <v>1118</v>
      </c>
      <c r="G291" s="158" t="s">
        <v>1619</v>
      </c>
      <c r="H291" s="158" t="s">
        <v>1620</v>
      </c>
      <c r="I291" s="158" t="s">
        <v>1621</v>
      </c>
      <c r="J291" s="158" t="s">
        <v>1621</v>
      </c>
      <c r="K291" s="158" t="s">
        <v>156</v>
      </c>
      <c r="L291" s="158" t="s">
        <v>26</v>
      </c>
      <c r="M291" s="158" t="s">
        <v>157</v>
      </c>
      <c r="N291" s="158" t="s">
        <v>28</v>
      </c>
      <c r="O291" s="158" t="s">
        <v>29</v>
      </c>
      <c r="P291" s="158" t="s">
        <v>1622</v>
      </c>
    </row>
    <row r="292" spans="1:16" x14ac:dyDescent="0.25">
      <c r="A292" s="155" t="s">
        <v>1623</v>
      </c>
      <c r="B292" s="155" t="s">
        <v>1115</v>
      </c>
      <c r="C292" s="155" t="s">
        <v>1613</v>
      </c>
      <c r="D292" s="155" t="s">
        <v>1614</v>
      </c>
      <c r="E292" s="155" t="s">
        <v>1117</v>
      </c>
      <c r="F292" s="155" t="s">
        <v>1118</v>
      </c>
      <c r="G292" s="158" t="s">
        <v>1624</v>
      </c>
      <c r="H292" s="158" t="s">
        <v>1625</v>
      </c>
      <c r="I292" s="158" t="s">
        <v>1626</v>
      </c>
      <c r="J292" s="158" t="s">
        <v>1626</v>
      </c>
      <c r="K292" s="158" t="s">
        <v>45</v>
      </c>
      <c r="L292" s="158" t="s">
        <v>26</v>
      </c>
      <c r="M292" s="158" t="s">
        <v>46</v>
      </c>
      <c r="N292" s="158" t="s">
        <v>28</v>
      </c>
      <c r="O292" s="158" t="s">
        <v>29</v>
      </c>
      <c r="P292" s="158" t="s">
        <v>1627</v>
      </c>
    </row>
    <row r="293" spans="1:16" x14ac:dyDescent="0.25">
      <c r="A293" s="155" t="s">
        <v>1628</v>
      </c>
      <c r="B293" s="155" t="s">
        <v>1115</v>
      </c>
      <c r="C293" s="155" t="s">
        <v>1613</v>
      </c>
      <c r="D293" s="155" t="s">
        <v>1614</v>
      </c>
      <c r="E293" s="155" t="s">
        <v>1117</v>
      </c>
      <c r="F293" s="155" t="s">
        <v>1118</v>
      </c>
      <c r="G293" s="158" t="s">
        <v>1629</v>
      </c>
      <c r="H293" s="158" t="s">
        <v>1630</v>
      </c>
      <c r="I293" s="158" t="s">
        <v>1631</v>
      </c>
      <c r="J293" s="158" t="s">
        <v>1631</v>
      </c>
      <c r="K293" s="158" t="s">
        <v>156</v>
      </c>
      <c r="L293" s="158" t="s">
        <v>26</v>
      </c>
      <c r="M293" s="158" t="s">
        <v>157</v>
      </c>
      <c r="N293" s="158" t="s">
        <v>28</v>
      </c>
      <c r="O293" s="158" t="s">
        <v>29</v>
      </c>
      <c r="P293" s="158" t="s">
        <v>1632</v>
      </c>
    </row>
    <row r="294" spans="1:16" x14ac:dyDescent="0.25">
      <c r="A294" s="155" t="s">
        <v>1633</v>
      </c>
      <c r="B294" s="155" t="s">
        <v>1115</v>
      </c>
      <c r="C294" s="155" t="s">
        <v>1613</v>
      </c>
      <c r="D294" s="155" t="s">
        <v>1614</v>
      </c>
      <c r="E294" s="155" t="s">
        <v>1117</v>
      </c>
      <c r="F294" s="155" t="s">
        <v>1118</v>
      </c>
      <c r="G294" s="158" t="s">
        <v>1634</v>
      </c>
      <c r="H294" s="158" t="s">
        <v>1635</v>
      </c>
      <c r="I294" s="158" t="s">
        <v>1636</v>
      </c>
      <c r="J294" s="158" t="s">
        <v>1636</v>
      </c>
      <c r="K294" s="158" t="s">
        <v>37</v>
      </c>
      <c r="L294" s="158" t="s">
        <v>26</v>
      </c>
      <c r="M294" s="158" t="s">
        <v>38</v>
      </c>
      <c r="N294" s="158" t="s">
        <v>28</v>
      </c>
      <c r="O294" s="158" t="s">
        <v>39</v>
      </c>
      <c r="P294" s="158" t="s">
        <v>1637</v>
      </c>
    </row>
    <row r="295" spans="1:16" x14ac:dyDescent="0.25">
      <c r="A295" s="155" t="s">
        <v>1638</v>
      </c>
      <c r="B295" s="155" t="s">
        <v>1115</v>
      </c>
      <c r="C295" s="155" t="s">
        <v>1613</v>
      </c>
      <c r="D295" s="155" t="s">
        <v>1614</v>
      </c>
      <c r="E295" s="155" t="s">
        <v>1117</v>
      </c>
      <c r="F295" s="155" t="s">
        <v>1118</v>
      </c>
      <c r="G295" s="158" t="s">
        <v>1639</v>
      </c>
      <c r="H295" s="158" t="s">
        <v>1640</v>
      </c>
      <c r="I295" s="158" t="s">
        <v>1641</v>
      </c>
      <c r="J295" s="158" t="s">
        <v>1641</v>
      </c>
      <c r="K295" s="158" t="s">
        <v>37</v>
      </c>
      <c r="L295" s="158" t="s">
        <v>26</v>
      </c>
      <c r="M295" s="158" t="s">
        <v>38</v>
      </c>
      <c r="N295" s="158" t="s">
        <v>28</v>
      </c>
      <c r="O295" s="158" t="s">
        <v>39</v>
      </c>
      <c r="P295" s="158" t="s">
        <v>1642</v>
      </c>
    </row>
    <row r="296" spans="1:16" x14ac:dyDescent="0.25">
      <c r="A296" s="155" t="s">
        <v>1643</v>
      </c>
      <c r="B296" s="155" t="s">
        <v>1115</v>
      </c>
      <c r="C296" s="155" t="s">
        <v>1613</v>
      </c>
      <c r="D296" s="155" t="s">
        <v>1614</v>
      </c>
      <c r="E296" s="155" t="s">
        <v>1117</v>
      </c>
      <c r="F296" s="155" t="s">
        <v>1118</v>
      </c>
      <c r="G296" s="158" t="s">
        <v>1644</v>
      </c>
      <c r="H296" s="158" t="s">
        <v>1645</v>
      </c>
      <c r="I296" s="158" t="s">
        <v>1646</v>
      </c>
      <c r="J296" s="158" t="s">
        <v>1646</v>
      </c>
      <c r="K296" s="158" t="s">
        <v>71</v>
      </c>
      <c r="L296" s="158" t="s">
        <v>26</v>
      </c>
      <c r="M296" s="158" t="s">
        <v>72</v>
      </c>
      <c r="N296" s="158" t="s">
        <v>28</v>
      </c>
      <c r="O296" s="158" t="s">
        <v>29</v>
      </c>
      <c r="P296" s="158" t="s">
        <v>1647</v>
      </c>
    </row>
    <row r="297" spans="1:16" x14ac:dyDescent="0.25">
      <c r="A297" s="155" t="s">
        <v>1614</v>
      </c>
      <c r="B297" s="155" t="s">
        <v>1115</v>
      </c>
      <c r="C297" s="155" t="s">
        <v>1613</v>
      </c>
      <c r="D297" s="155" t="s">
        <v>1614</v>
      </c>
      <c r="E297" s="155" t="s">
        <v>1117</v>
      </c>
      <c r="F297" s="155" t="s">
        <v>1118</v>
      </c>
      <c r="G297" s="158" t="s">
        <v>1648</v>
      </c>
      <c r="H297" s="158" t="s">
        <v>1649</v>
      </c>
      <c r="I297" s="158" t="s">
        <v>1650</v>
      </c>
      <c r="J297" s="158" t="s">
        <v>1650</v>
      </c>
      <c r="K297" s="158" t="s">
        <v>71</v>
      </c>
      <c r="L297" s="158" t="s">
        <v>26</v>
      </c>
      <c r="M297" s="158" t="s">
        <v>72</v>
      </c>
      <c r="N297" s="158" t="s">
        <v>28</v>
      </c>
      <c r="O297" s="158" t="s">
        <v>29</v>
      </c>
      <c r="P297" s="158" t="s">
        <v>1651</v>
      </c>
    </row>
    <row r="298" spans="1:16" x14ac:dyDescent="0.25">
      <c r="A298" s="155" t="s">
        <v>1652</v>
      </c>
      <c r="B298" s="155" t="s">
        <v>1115</v>
      </c>
      <c r="C298" s="155" t="s">
        <v>1613</v>
      </c>
      <c r="D298" s="155" t="s">
        <v>1614</v>
      </c>
      <c r="E298" s="155" t="s">
        <v>1117</v>
      </c>
      <c r="F298" s="155" t="s">
        <v>1118</v>
      </c>
      <c r="G298" s="158" t="s">
        <v>1653</v>
      </c>
      <c r="H298" s="158" t="s">
        <v>1654</v>
      </c>
      <c r="I298" s="158" t="s">
        <v>1655</v>
      </c>
      <c r="J298" s="158" t="s">
        <v>1655</v>
      </c>
      <c r="K298" s="158" t="s">
        <v>71</v>
      </c>
      <c r="L298" s="158" t="s">
        <v>26</v>
      </c>
      <c r="M298" s="158" t="s">
        <v>72</v>
      </c>
      <c r="N298" s="158" t="s">
        <v>28</v>
      </c>
      <c r="O298" s="158" t="s">
        <v>29</v>
      </c>
      <c r="P298" s="158" t="s">
        <v>1656</v>
      </c>
    </row>
    <row r="299" spans="1:16" x14ac:dyDescent="0.25">
      <c r="A299" s="155" t="s">
        <v>1657</v>
      </c>
      <c r="B299" s="155" t="s">
        <v>1115</v>
      </c>
      <c r="C299" s="155" t="s">
        <v>1613</v>
      </c>
      <c r="D299" s="155" t="s">
        <v>1614</v>
      </c>
      <c r="E299" s="155" t="s">
        <v>1117</v>
      </c>
      <c r="F299" s="155" t="s">
        <v>1118</v>
      </c>
      <c r="G299" s="158" t="s">
        <v>1658</v>
      </c>
      <c r="H299" s="158" t="s">
        <v>1659</v>
      </c>
      <c r="I299" s="158" t="s">
        <v>1660</v>
      </c>
      <c r="J299" s="158" t="s">
        <v>1660</v>
      </c>
      <c r="K299" s="158" t="s">
        <v>71</v>
      </c>
      <c r="L299" s="158" t="s">
        <v>26</v>
      </c>
      <c r="M299" s="158" t="s">
        <v>72</v>
      </c>
      <c r="N299" s="158" t="s">
        <v>28</v>
      </c>
      <c r="O299" s="158" t="s">
        <v>29</v>
      </c>
      <c r="P299" s="158" t="s">
        <v>1661</v>
      </c>
    </row>
    <row r="300" spans="1:16" x14ac:dyDescent="0.25">
      <c r="A300" s="155" t="s">
        <v>1662</v>
      </c>
      <c r="B300" s="155" t="s">
        <v>1115</v>
      </c>
      <c r="C300" s="155" t="s">
        <v>1613</v>
      </c>
      <c r="D300" s="155" t="s">
        <v>1614</v>
      </c>
      <c r="E300" s="155" t="s">
        <v>1117</v>
      </c>
      <c r="F300" s="155" t="s">
        <v>1118</v>
      </c>
      <c r="G300" s="158" t="s">
        <v>1663</v>
      </c>
      <c r="H300" s="158" t="s">
        <v>1664</v>
      </c>
      <c r="I300" s="158" t="s">
        <v>1665</v>
      </c>
      <c r="J300" s="158" t="s">
        <v>1665</v>
      </c>
      <c r="K300" s="158" t="s">
        <v>71</v>
      </c>
      <c r="L300" s="158" t="s">
        <v>26</v>
      </c>
      <c r="M300" s="158" t="s">
        <v>72</v>
      </c>
      <c r="N300" s="158" t="s">
        <v>28</v>
      </c>
      <c r="O300" s="158" t="s">
        <v>29</v>
      </c>
      <c r="P300" s="158" t="s">
        <v>1666</v>
      </c>
    </row>
    <row r="301" spans="1:16" x14ac:dyDescent="0.25">
      <c r="A301" s="155" t="s">
        <v>1667</v>
      </c>
      <c r="B301" s="155" t="s">
        <v>1115</v>
      </c>
      <c r="C301" s="155" t="s">
        <v>1613</v>
      </c>
      <c r="D301" s="155" t="s">
        <v>1614</v>
      </c>
      <c r="E301" s="155" t="s">
        <v>1117</v>
      </c>
      <c r="F301" s="155" t="s">
        <v>1118</v>
      </c>
      <c r="G301" s="158" t="s">
        <v>1668</v>
      </c>
      <c r="H301" s="158" t="s">
        <v>1669</v>
      </c>
      <c r="I301" s="158" t="s">
        <v>1670</v>
      </c>
      <c r="J301" s="158" t="s">
        <v>1670</v>
      </c>
      <c r="K301" s="158" t="s">
        <v>71</v>
      </c>
      <c r="L301" s="158" t="s">
        <v>26</v>
      </c>
      <c r="M301" s="158" t="s">
        <v>72</v>
      </c>
      <c r="N301" s="158" t="s">
        <v>28</v>
      </c>
      <c r="O301" s="158" t="s">
        <v>29</v>
      </c>
      <c r="P301" s="158" t="s">
        <v>1671</v>
      </c>
    </row>
    <row r="302" spans="1:16" x14ac:dyDescent="0.25">
      <c r="A302" s="155" t="s">
        <v>1672</v>
      </c>
      <c r="B302" s="155" t="s">
        <v>1115</v>
      </c>
      <c r="C302" s="155" t="s">
        <v>1673</v>
      </c>
      <c r="D302" s="155" t="s">
        <v>1672</v>
      </c>
      <c r="E302" s="155" t="s">
        <v>1117</v>
      </c>
      <c r="F302" s="155" t="s">
        <v>1118</v>
      </c>
      <c r="G302" s="158" t="s">
        <v>1674</v>
      </c>
      <c r="H302" s="158" t="s">
        <v>1675</v>
      </c>
      <c r="I302" s="158" t="s">
        <v>1676</v>
      </c>
      <c r="J302" s="158" t="s">
        <v>1676</v>
      </c>
      <c r="K302" s="158" t="s">
        <v>71</v>
      </c>
      <c r="L302" s="158" t="s">
        <v>26</v>
      </c>
      <c r="M302" s="158" t="s">
        <v>72</v>
      </c>
      <c r="N302" s="158" t="s">
        <v>28</v>
      </c>
      <c r="O302" s="158" t="s">
        <v>29</v>
      </c>
      <c r="P302" s="158" t="s">
        <v>1677</v>
      </c>
    </row>
    <row r="303" spans="1:16" x14ac:dyDescent="0.25">
      <c r="A303" s="155" t="s">
        <v>1678</v>
      </c>
      <c r="B303" s="155" t="s">
        <v>1115</v>
      </c>
      <c r="C303" s="155" t="s">
        <v>1673</v>
      </c>
      <c r="D303" s="155" t="s">
        <v>1672</v>
      </c>
      <c r="E303" s="155" t="s">
        <v>1117</v>
      </c>
      <c r="F303" s="155" t="s">
        <v>1118</v>
      </c>
      <c r="G303" s="158" t="s">
        <v>1679</v>
      </c>
      <c r="H303" s="158" t="s">
        <v>1680</v>
      </c>
      <c r="I303" s="158" t="s">
        <v>1681</v>
      </c>
      <c r="J303" s="158" t="s">
        <v>1681</v>
      </c>
      <c r="K303" s="158" t="s">
        <v>83</v>
      </c>
      <c r="L303" s="158" t="s">
        <v>26</v>
      </c>
      <c r="M303" s="158" t="s">
        <v>84</v>
      </c>
      <c r="N303" s="158" t="s">
        <v>28</v>
      </c>
      <c r="O303" s="158" t="s">
        <v>29</v>
      </c>
      <c r="P303" s="158" t="s">
        <v>1682</v>
      </c>
    </row>
    <row r="304" spans="1:16" x14ac:dyDescent="0.25">
      <c r="A304" s="155" t="s">
        <v>1683</v>
      </c>
      <c r="B304" s="155" t="s">
        <v>1115</v>
      </c>
      <c r="C304" s="155" t="s">
        <v>1673</v>
      </c>
      <c r="D304" s="155" t="s">
        <v>1672</v>
      </c>
      <c r="E304" s="155" t="s">
        <v>1117</v>
      </c>
      <c r="F304" s="155" t="s">
        <v>1118</v>
      </c>
      <c r="G304" s="158" t="s">
        <v>1684</v>
      </c>
      <c r="H304" s="158" t="s">
        <v>1685</v>
      </c>
      <c r="I304" s="158" t="s">
        <v>1686</v>
      </c>
      <c r="J304" s="158" t="s">
        <v>1686</v>
      </c>
      <c r="K304" s="158" t="s">
        <v>71</v>
      </c>
      <c r="L304" s="158" t="s">
        <v>26</v>
      </c>
      <c r="M304" s="158" t="s">
        <v>72</v>
      </c>
      <c r="N304" s="158" t="s">
        <v>28</v>
      </c>
      <c r="O304" s="158" t="s">
        <v>29</v>
      </c>
      <c r="P304" s="158" t="s">
        <v>1687</v>
      </c>
    </row>
    <row r="305" spans="1:16" x14ac:dyDescent="0.25">
      <c r="A305" s="155" t="s">
        <v>1688</v>
      </c>
      <c r="B305" s="155" t="s">
        <v>1689</v>
      </c>
      <c r="C305" s="155" t="s">
        <v>1690</v>
      </c>
      <c r="D305" s="155" t="s">
        <v>1688</v>
      </c>
      <c r="E305" s="155" t="s">
        <v>525</v>
      </c>
      <c r="F305" s="155" t="s">
        <v>1691</v>
      </c>
      <c r="G305" s="158" t="s">
        <v>1692</v>
      </c>
      <c r="H305" s="158" t="s">
        <v>1693</v>
      </c>
      <c r="I305" s="158" t="s">
        <v>1694</v>
      </c>
      <c r="J305" s="158" t="s">
        <v>1694</v>
      </c>
      <c r="K305" s="158" t="s">
        <v>25</v>
      </c>
      <c r="L305" s="158" t="s">
        <v>26</v>
      </c>
      <c r="M305" s="158" t="s">
        <v>27</v>
      </c>
      <c r="N305" s="158" t="s">
        <v>28</v>
      </c>
      <c r="O305" s="158" t="s">
        <v>29</v>
      </c>
      <c r="P305" s="158" t="s">
        <v>264</v>
      </c>
    </row>
    <row r="306" spans="1:16" x14ac:dyDescent="0.25">
      <c r="A306" s="155" t="s">
        <v>1695</v>
      </c>
      <c r="B306" s="155" t="s">
        <v>1689</v>
      </c>
      <c r="C306" s="155" t="s">
        <v>1696</v>
      </c>
      <c r="D306" s="155" t="s">
        <v>1695</v>
      </c>
      <c r="E306" s="155" t="s">
        <v>525</v>
      </c>
      <c r="F306" s="155" t="s">
        <v>1691</v>
      </c>
      <c r="G306" s="158" t="s">
        <v>1697</v>
      </c>
      <c r="H306" s="158" t="s">
        <v>1698</v>
      </c>
      <c r="I306" s="158" t="s">
        <v>1699</v>
      </c>
      <c r="J306" s="158" t="s">
        <v>1699</v>
      </c>
      <c r="K306" s="158" t="s">
        <v>25</v>
      </c>
      <c r="L306" s="158" t="s">
        <v>26</v>
      </c>
      <c r="M306" s="158" t="s">
        <v>27</v>
      </c>
      <c r="N306" s="158" t="s">
        <v>28</v>
      </c>
      <c r="O306" s="158" t="s">
        <v>29</v>
      </c>
      <c r="P306" s="158" t="s">
        <v>264</v>
      </c>
    </row>
    <row r="307" spans="1:16" x14ac:dyDescent="0.25">
      <c r="A307" s="155" t="s">
        <v>1700</v>
      </c>
      <c r="B307" s="155" t="s">
        <v>1689</v>
      </c>
      <c r="C307" s="155" t="s">
        <v>1701</v>
      </c>
      <c r="D307" s="155" t="s">
        <v>1700</v>
      </c>
      <c r="E307" s="155" t="s">
        <v>525</v>
      </c>
      <c r="F307" s="155" t="s">
        <v>1691</v>
      </c>
      <c r="G307" s="158" t="s">
        <v>1702</v>
      </c>
      <c r="H307" s="158" t="s">
        <v>1703</v>
      </c>
      <c r="I307" s="158" t="s">
        <v>1704</v>
      </c>
      <c r="J307" s="158" t="s">
        <v>1704</v>
      </c>
      <c r="K307" s="158" t="s">
        <v>25</v>
      </c>
      <c r="L307" s="158" t="s">
        <v>26</v>
      </c>
      <c r="M307" s="158" t="s">
        <v>27</v>
      </c>
      <c r="N307" s="158" t="s">
        <v>28</v>
      </c>
      <c r="O307" s="158" t="s">
        <v>29</v>
      </c>
      <c r="P307" s="158" t="s">
        <v>264</v>
      </c>
    </row>
    <row r="308" spans="1:16" x14ac:dyDescent="0.25">
      <c r="A308" s="155" t="s">
        <v>1705</v>
      </c>
      <c r="B308" s="155" t="s">
        <v>1689</v>
      </c>
      <c r="C308" s="155" t="s">
        <v>1706</v>
      </c>
      <c r="D308" s="155" t="s">
        <v>1707</v>
      </c>
      <c r="E308" s="155" t="s">
        <v>525</v>
      </c>
      <c r="F308" s="155" t="s">
        <v>1691</v>
      </c>
      <c r="G308" s="158" t="s">
        <v>1708</v>
      </c>
      <c r="H308" s="158" t="s">
        <v>1709</v>
      </c>
      <c r="I308" s="158" t="s">
        <v>1710</v>
      </c>
      <c r="J308" s="158" t="s">
        <v>1710</v>
      </c>
      <c r="K308" s="158" t="s">
        <v>71</v>
      </c>
      <c r="L308" s="158" t="s">
        <v>26</v>
      </c>
      <c r="M308" s="158" t="s">
        <v>72</v>
      </c>
      <c r="N308" s="158" t="s">
        <v>28</v>
      </c>
      <c r="O308" s="158" t="s">
        <v>29</v>
      </c>
      <c r="P308" s="158" t="s">
        <v>264</v>
      </c>
    </row>
    <row r="309" spans="1:16" x14ac:dyDescent="0.25">
      <c r="A309" s="155" t="s">
        <v>1711</v>
      </c>
      <c r="B309" s="155" t="s">
        <v>1689</v>
      </c>
      <c r="C309" s="155" t="s">
        <v>1712</v>
      </c>
      <c r="D309" s="155" t="s">
        <v>1713</v>
      </c>
      <c r="E309" s="155" t="s">
        <v>525</v>
      </c>
      <c r="F309" s="155" t="s">
        <v>1691</v>
      </c>
      <c r="G309" s="158" t="s">
        <v>1714</v>
      </c>
      <c r="H309" s="158" t="s">
        <v>1715</v>
      </c>
      <c r="I309" s="158" t="s">
        <v>1716</v>
      </c>
      <c r="J309" s="158" t="s">
        <v>1716</v>
      </c>
      <c r="K309" s="158" t="s">
        <v>71</v>
      </c>
      <c r="L309" s="158" t="s">
        <v>26</v>
      </c>
      <c r="M309" s="158" t="s">
        <v>72</v>
      </c>
      <c r="N309" s="158" t="s">
        <v>28</v>
      </c>
      <c r="O309" s="158" t="s">
        <v>29</v>
      </c>
      <c r="P309" s="158" t="s">
        <v>264</v>
      </c>
    </row>
    <row r="310" spans="1:16" x14ac:dyDescent="0.25">
      <c r="A310" s="155" t="s">
        <v>1717</v>
      </c>
      <c r="B310" s="155" t="s">
        <v>1689</v>
      </c>
      <c r="C310" s="155" t="s">
        <v>1712</v>
      </c>
      <c r="D310" s="155" t="s">
        <v>1713</v>
      </c>
      <c r="E310" s="155" t="s">
        <v>525</v>
      </c>
      <c r="F310" s="155" t="s">
        <v>1691</v>
      </c>
      <c r="G310" s="158" t="s">
        <v>1718</v>
      </c>
      <c r="H310" s="158" t="s">
        <v>1719</v>
      </c>
      <c r="I310" s="158" t="s">
        <v>1720</v>
      </c>
      <c r="J310" s="158" t="s">
        <v>1720</v>
      </c>
      <c r="K310" s="158" t="s">
        <v>71</v>
      </c>
      <c r="L310" s="158" t="s">
        <v>26</v>
      </c>
      <c r="M310" s="158" t="s">
        <v>72</v>
      </c>
      <c r="N310" s="158" t="s">
        <v>28</v>
      </c>
      <c r="O310" s="158" t="s">
        <v>29</v>
      </c>
      <c r="P310" s="158" t="s">
        <v>264</v>
      </c>
    </row>
    <row r="311" spans="1:16" x14ac:dyDescent="0.25">
      <c r="A311" s="158" t="s">
        <v>1721</v>
      </c>
      <c r="B311" s="155" t="s">
        <v>1689</v>
      </c>
      <c r="C311" s="158"/>
      <c r="D311" s="158"/>
      <c r="E311" s="158"/>
      <c r="F311" s="158"/>
      <c r="G311" s="158" t="s">
        <v>1722</v>
      </c>
      <c r="H311" s="158" t="s">
        <v>1723</v>
      </c>
      <c r="I311" s="158" t="s">
        <v>1724</v>
      </c>
      <c r="J311" s="158" t="s">
        <v>1724</v>
      </c>
      <c r="K311" s="158" t="s">
        <v>1019</v>
      </c>
      <c r="L311" s="158" t="s">
        <v>26</v>
      </c>
      <c r="M311" s="158" t="s">
        <v>1020</v>
      </c>
      <c r="N311" s="158" t="s">
        <v>28</v>
      </c>
      <c r="O311" s="158" t="s">
        <v>1021</v>
      </c>
      <c r="P311" s="158" t="s">
        <v>1725</v>
      </c>
    </row>
    <row r="312" spans="1:16" x14ac:dyDescent="0.25">
      <c r="A312" s="158" t="s">
        <v>1726</v>
      </c>
      <c r="B312" s="155" t="s">
        <v>1689</v>
      </c>
      <c r="C312" s="158"/>
      <c r="D312" s="158"/>
      <c r="E312" s="158"/>
      <c r="F312" s="158"/>
      <c r="G312" s="158" t="s">
        <v>1727</v>
      </c>
      <c r="H312" s="158" t="s">
        <v>1728</v>
      </c>
      <c r="I312" s="158" t="s">
        <v>1729</v>
      </c>
      <c r="J312" s="158" t="s">
        <v>1729</v>
      </c>
      <c r="K312" s="158" t="s">
        <v>1019</v>
      </c>
      <c r="L312" s="158" t="s">
        <v>26</v>
      </c>
      <c r="M312" s="158" t="s">
        <v>1020</v>
      </c>
      <c r="N312" s="158" t="s">
        <v>28</v>
      </c>
      <c r="O312" s="158" t="s">
        <v>1021</v>
      </c>
      <c r="P312" s="158" t="s">
        <v>1730</v>
      </c>
    </row>
    <row r="313" spans="1:16" x14ac:dyDescent="0.25">
      <c r="A313" s="158" t="s">
        <v>1731</v>
      </c>
      <c r="B313" s="155" t="s">
        <v>1689</v>
      </c>
      <c r="C313" s="158"/>
      <c r="D313" s="158"/>
      <c r="E313" s="158"/>
      <c r="F313" s="158"/>
      <c r="G313" s="158" t="s">
        <v>1732</v>
      </c>
      <c r="H313" s="158" t="s">
        <v>1733</v>
      </c>
      <c r="I313" s="158" t="s">
        <v>1734</v>
      </c>
      <c r="J313" s="158" t="s">
        <v>1734</v>
      </c>
      <c r="K313" s="158" t="s">
        <v>1019</v>
      </c>
      <c r="L313" s="158" t="s">
        <v>26</v>
      </c>
      <c r="M313" s="158" t="s">
        <v>1020</v>
      </c>
      <c r="N313" s="158" t="s">
        <v>28</v>
      </c>
      <c r="O313" s="158" t="s">
        <v>1021</v>
      </c>
      <c r="P313" s="158" t="s">
        <v>1735</v>
      </c>
    </row>
    <row r="314" spans="1:16" x14ac:dyDescent="0.25">
      <c r="A314" s="155" t="s">
        <v>1736</v>
      </c>
      <c r="B314" s="155" t="s">
        <v>1689</v>
      </c>
      <c r="C314" s="155" t="s">
        <v>1706</v>
      </c>
      <c r="D314" s="155" t="s">
        <v>1707</v>
      </c>
      <c r="E314" s="155" t="s">
        <v>525</v>
      </c>
      <c r="F314" s="155" t="s">
        <v>1691</v>
      </c>
      <c r="G314" s="158" t="s">
        <v>1737</v>
      </c>
      <c r="H314" s="158" t="s">
        <v>1738</v>
      </c>
      <c r="I314" s="158" t="s">
        <v>1739</v>
      </c>
      <c r="J314" s="158" t="s">
        <v>1739</v>
      </c>
      <c r="K314" s="158" t="s">
        <v>71</v>
      </c>
      <c r="L314" s="158" t="s">
        <v>26</v>
      </c>
      <c r="M314" s="158" t="s">
        <v>72</v>
      </c>
      <c r="N314" s="158" t="s">
        <v>28</v>
      </c>
      <c r="O314" s="158" t="s">
        <v>29</v>
      </c>
      <c r="P314" s="158" t="s">
        <v>1740</v>
      </c>
    </row>
    <row r="315" spans="1:16" x14ac:dyDescent="0.25">
      <c r="A315" s="155" t="s">
        <v>1741</v>
      </c>
      <c r="B315" s="155" t="s">
        <v>1689</v>
      </c>
      <c r="C315" s="155" t="s">
        <v>1706</v>
      </c>
      <c r="D315" s="155" t="s">
        <v>1707</v>
      </c>
      <c r="E315" s="155" t="s">
        <v>525</v>
      </c>
      <c r="F315" s="155" t="s">
        <v>1691</v>
      </c>
      <c r="G315" s="158" t="s">
        <v>1742</v>
      </c>
      <c r="H315" s="158" t="s">
        <v>1743</v>
      </c>
      <c r="I315" s="158" t="s">
        <v>1744</v>
      </c>
      <c r="J315" s="158" t="s">
        <v>1744</v>
      </c>
      <c r="K315" s="158" t="s">
        <v>156</v>
      </c>
      <c r="L315" s="158" t="s">
        <v>26</v>
      </c>
      <c r="M315" s="158" t="s">
        <v>157</v>
      </c>
      <c r="N315" s="158" t="s">
        <v>28</v>
      </c>
      <c r="O315" s="158" t="s">
        <v>29</v>
      </c>
      <c r="P315" s="158" t="s">
        <v>1745</v>
      </c>
    </row>
    <row r="316" spans="1:16" x14ac:dyDescent="0.25">
      <c r="A316" s="155" t="s">
        <v>1746</v>
      </c>
      <c r="B316" s="155" t="s">
        <v>1689</v>
      </c>
      <c r="C316" s="155" t="s">
        <v>1706</v>
      </c>
      <c r="D316" s="155" t="s">
        <v>1707</v>
      </c>
      <c r="E316" s="155" t="s">
        <v>525</v>
      </c>
      <c r="F316" s="155" t="s">
        <v>1691</v>
      </c>
      <c r="G316" s="158" t="s">
        <v>1747</v>
      </c>
      <c r="H316" s="158" t="s">
        <v>1748</v>
      </c>
      <c r="I316" s="158" t="s">
        <v>1749</v>
      </c>
      <c r="J316" s="158" t="s">
        <v>1749</v>
      </c>
      <c r="K316" s="158" t="s">
        <v>71</v>
      </c>
      <c r="L316" s="158" t="s">
        <v>26</v>
      </c>
      <c r="M316" s="158" t="s">
        <v>72</v>
      </c>
      <c r="N316" s="158" t="s">
        <v>28</v>
      </c>
      <c r="O316" s="158" t="s">
        <v>29</v>
      </c>
      <c r="P316" s="158" t="s">
        <v>1750</v>
      </c>
    </row>
    <row r="317" spans="1:16" x14ac:dyDescent="0.25">
      <c r="A317" s="155" t="s">
        <v>1751</v>
      </c>
      <c r="B317" s="155" t="s">
        <v>1689</v>
      </c>
      <c r="C317" s="155" t="s">
        <v>1706</v>
      </c>
      <c r="D317" s="155" t="s">
        <v>1707</v>
      </c>
      <c r="E317" s="155" t="s">
        <v>525</v>
      </c>
      <c r="F317" s="155" t="s">
        <v>1691</v>
      </c>
      <c r="G317" s="158" t="s">
        <v>1752</v>
      </c>
      <c r="H317" s="158" t="s">
        <v>1753</v>
      </c>
      <c r="I317" s="158" t="s">
        <v>1754</v>
      </c>
      <c r="J317" s="158" t="s">
        <v>1754</v>
      </c>
      <c r="K317" s="158" t="s">
        <v>156</v>
      </c>
      <c r="L317" s="158" t="s">
        <v>26</v>
      </c>
      <c r="M317" s="158" t="s">
        <v>157</v>
      </c>
      <c r="N317" s="158" t="s">
        <v>28</v>
      </c>
      <c r="O317" s="158" t="s">
        <v>29</v>
      </c>
      <c r="P317" s="158" t="s">
        <v>1755</v>
      </c>
    </row>
    <row r="318" spans="1:16" x14ac:dyDescent="0.25">
      <c r="A318" s="155" t="s">
        <v>1756</v>
      </c>
      <c r="B318" s="155" t="s">
        <v>1689</v>
      </c>
      <c r="C318" s="155" t="s">
        <v>1706</v>
      </c>
      <c r="D318" s="155" t="s">
        <v>1707</v>
      </c>
      <c r="E318" s="155" t="s">
        <v>525</v>
      </c>
      <c r="F318" s="155" t="s">
        <v>1691</v>
      </c>
      <c r="G318" s="158" t="s">
        <v>1757</v>
      </c>
      <c r="H318" s="158" t="s">
        <v>1758</v>
      </c>
      <c r="I318" s="158" t="s">
        <v>1759</v>
      </c>
      <c r="J318" s="158" t="s">
        <v>1759</v>
      </c>
      <c r="K318" s="158" t="s">
        <v>45</v>
      </c>
      <c r="L318" s="158" t="s">
        <v>26</v>
      </c>
      <c r="M318" s="158" t="s">
        <v>46</v>
      </c>
      <c r="N318" s="158" t="s">
        <v>28</v>
      </c>
      <c r="O318" s="158" t="s">
        <v>29</v>
      </c>
      <c r="P318" s="158" t="s">
        <v>1760</v>
      </c>
    </row>
    <row r="319" spans="1:16" x14ac:dyDescent="0.25">
      <c r="A319" s="155" t="s">
        <v>1761</v>
      </c>
      <c r="B319" s="155" t="s">
        <v>1689</v>
      </c>
      <c r="C319" s="155" t="s">
        <v>1706</v>
      </c>
      <c r="D319" s="155" t="s">
        <v>1707</v>
      </c>
      <c r="E319" s="155" t="s">
        <v>525</v>
      </c>
      <c r="F319" s="155" t="s">
        <v>1691</v>
      </c>
      <c r="G319" s="158" t="s">
        <v>1762</v>
      </c>
      <c r="H319" s="158" t="s">
        <v>1763</v>
      </c>
      <c r="I319" s="158" t="s">
        <v>1764</v>
      </c>
      <c r="J319" s="158" t="s">
        <v>1764</v>
      </c>
      <c r="K319" s="158" t="s">
        <v>71</v>
      </c>
      <c r="L319" s="158" t="s">
        <v>26</v>
      </c>
      <c r="M319" s="158" t="s">
        <v>72</v>
      </c>
      <c r="N319" s="158" t="s">
        <v>28</v>
      </c>
      <c r="O319" s="158" t="s">
        <v>29</v>
      </c>
      <c r="P319" s="158" t="s">
        <v>1765</v>
      </c>
    </row>
    <row r="320" spans="1:16" x14ac:dyDescent="0.25">
      <c r="A320" s="155" t="s">
        <v>1766</v>
      </c>
      <c r="B320" s="155" t="s">
        <v>1689</v>
      </c>
      <c r="C320" s="155" t="s">
        <v>1706</v>
      </c>
      <c r="D320" s="155" t="s">
        <v>1707</v>
      </c>
      <c r="E320" s="155" t="s">
        <v>525</v>
      </c>
      <c r="F320" s="155" t="s">
        <v>1691</v>
      </c>
      <c r="G320" s="158" t="s">
        <v>1767</v>
      </c>
      <c r="H320" s="158" t="s">
        <v>1768</v>
      </c>
      <c r="I320" s="158" t="s">
        <v>1769</v>
      </c>
      <c r="J320" s="158" t="s">
        <v>1769</v>
      </c>
      <c r="K320" s="158" t="s">
        <v>874</v>
      </c>
      <c r="L320" s="158" t="s">
        <v>26</v>
      </c>
      <c r="M320" s="158" t="s">
        <v>875</v>
      </c>
      <c r="N320" s="158" t="s">
        <v>28</v>
      </c>
      <c r="O320" s="158" t="s">
        <v>29</v>
      </c>
      <c r="P320" s="158" t="s">
        <v>1770</v>
      </c>
    </row>
    <row r="321" spans="1:16" x14ac:dyDescent="0.25">
      <c r="A321" s="155" t="s">
        <v>1771</v>
      </c>
      <c r="B321" s="155" t="s">
        <v>1689</v>
      </c>
      <c r="C321" s="155" t="s">
        <v>1706</v>
      </c>
      <c r="D321" s="155" t="s">
        <v>1707</v>
      </c>
      <c r="E321" s="155" t="s">
        <v>525</v>
      </c>
      <c r="F321" s="155" t="s">
        <v>1691</v>
      </c>
      <c r="G321" s="158" t="s">
        <v>1772</v>
      </c>
      <c r="H321" s="158" t="s">
        <v>1773</v>
      </c>
      <c r="I321" s="158" t="s">
        <v>1774</v>
      </c>
      <c r="J321" s="158" t="s">
        <v>1774</v>
      </c>
      <c r="K321" s="158" t="s">
        <v>1775</v>
      </c>
      <c r="L321" s="158" t="s">
        <v>26</v>
      </c>
      <c r="M321" s="158" t="s">
        <v>1776</v>
      </c>
      <c r="N321" s="158" t="s">
        <v>28</v>
      </c>
      <c r="O321" s="158" t="s">
        <v>29</v>
      </c>
      <c r="P321" s="158" t="s">
        <v>1777</v>
      </c>
    </row>
    <row r="322" spans="1:16" x14ac:dyDescent="0.25">
      <c r="A322" s="155" t="s">
        <v>1778</v>
      </c>
      <c r="B322" s="155" t="s">
        <v>1689</v>
      </c>
      <c r="C322" s="155" t="s">
        <v>1706</v>
      </c>
      <c r="D322" s="155" t="s">
        <v>1707</v>
      </c>
      <c r="E322" s="155" t="s">
        <v>525</v>
      </c>
      <c r="F322" s="155" t="s">
        <v>1691</v>
      </c>
      <c r="G322" s="158" t="s">
        <v>1779</v>
      </c>
      <c r="H322" s="158" t="s">
        <v>1780</v>
      </c>
      <c r="I322" s="158" t="s">
        <v>1781</v>
      </c>
      <c r="J322" s="158" t="s">
        <v>1781</v>
      </c>
      <c r="K322" s="158" t="s">
        <v>861</v>
      </c>
      <c r="L322" s="158" t="s">
        <v>26</v>
      </c>
      <c r="M322" s="158" t="s">
        <v>862</v>
      </c>
      <c r="N322" s="158" t="s">
        <v>28</v>
      </c>
      <c r="O322" s="158" t="s">
        <v>29</v>
      </c>
      <c r="P322" s="158" t="s">
        <v>1782</v>
      </c>
    </row>
    <row r="323" spans="1:16" x14ac:dyDescent="0.25">
      <c r="A323" s="155" t="s">
        <v>1783</v>
      </c>
      <c r="B323" s="155" t="s">
        <v>1689</v>
      </c>
      <c r="C323" s="155" t="s">
        <v>1706</v>
      </c>
      <c r="D323" s="155" t="s">
        <v>1707</v>
      </c>
      <c r="E323" s="155" t="s">
        <v>525</v>
      </c>
      <c r="F323" s="155" t="s">
        <v>1691</v>
      </c>
      <c r="G323" s="158" t="s">
        <v>1784</v>
      </c>
      <c r="H323" s="158" t="s">
        <v>1785</v>
      </c>
      <c r="I323" s="158" t="s">
        <v>1786</v>
      </c>
      <c r="J323" s="158" t="s">
        <v>1786</v>
      </c>
      <c r="K323" s="158" t="s">
        <v>71</v>
      </c>
      <c r="L323" s="158" t="s">
        <v>26</v>
      </c>
      <c r="M323" s="158" t="s">
        <v>72</v>
      </c>
      <c r="N323" s="158" t="s">
        <v>28</v>
      </c>
      <c r="O323" s="158" t="s">
        <v>29</v>
      </c>
      <c r="P323" s="158" t="s">
        <v>1787</v>
      </c>
    </row>
    <row r="324" spans="1:16" x14ac:dyDescent="0.25">
      <c r="A324" s="155" t="s">
        <v>1707</v>
      </c>
      <c r="B324" s="155" t="s">
        <v>1689</v>
      </c>
      <c r="C324" s="155" t="s">
        <v>1706</v>
      </c>
      <c r="D324" s="155" t="s">
        <v>1707</v>
      </c>
      <c r="E324" s="155" t="s">
        <v>525</v>
      </c>
      <c r="F324" s="155" t="s">
        <v>1691</v>
      </c>
      <c r="G324" s="158" t="s">
        <v>1788</v>
      </c>
      <c r="H324" s="158" t="s">
        <v>1789</v>
      </c>
      <c r="I324" s="158" t="s">
        <v>1790</v>
      </c>
      <c r="J324" s="158" t="s">
        <v>1790</v>
      </c>
      <c r="K324" s="158" t="s">
        <v>71</v>
      </c>
      <c r="L324" s="158" t="s">
        <v>26</v>
      </c>
      <c r="M324" s="158" t="s">
        <v>72</v>
      </c>
      <c r="N324" s="158" t="s">
        <v>28</v>
      </c>
      <c r="O324" s="158" t="s">
        <v>29</v>
      </c>
      <c r="P324" s="158" t="s">
        <v>1791</v>
      </c>
    </row>
    <row r="325" spans="1:16" x14ac:dyDescent="0.25">
      <c r="A325" s="155" t="s">
        <v>1792</v>
      </c>
      <c r="B325" s="155" t="s">
        <v>1689</v>
      </c>
      <c r="C325" s="155" t="s">
        <v>1706</v>
      </c>
      <c r="D325" s="155" t="s">
        <v>1707</v>
      </c>
      <c r="E325" s="155" t="s">
        <v>525</v>
      </c>
      <c r="F325" s="155" t="s">
        <v>1691</v>
      </c>
      <c r="G325" s="158" t="s">
        <v>1793</v>
      </c>
      <c r="H325" s="158" t="s">
        <v>1794</v>
      </c>
      <c r="I325" s="158" t="s">
        <v>1795</v>
      </c>
      <c r="J325" s="158" t="s">
        <v>1795</v>
      </c>
      <c r="K325" s="158" t="s">
        <v>37</v>
      </c>
      <c r="L325" s="158" t="s">
        <v>26</v>
      </c>
      <c r="M325" s="158" t="s">
        <v>38</v>
      </c>
      <c r="N325" s="158" t="s">
        <v>28</v>
      </c>
      <c r="O325" s="158" t="s">
        <v>39</v>
      </c>
      <c r="P325" s="158" t="s">
        <v>1796</v>
      </c>
    </row>
    <row r="326" spans="1:16" x14ac:dyDescent="0.25">
      <c r="A326" s="155" t="s">
        <v>1797</v>
      </c>
      <c r="B326" s="155" t="s">
        <v>1689</v>
      </c>
      <c r="C326" s="155" t="s">
        <v>1706</v>
      </c>
      <c r="D326" s="155" t="s">
        <v>1707</v>
      </c>
      <c r="E326" s="155" t="s">
        <v>525</v>
      </c>
      <c r="F326" s="155" t="s">
        <v>1691</v>
      </c>
      <c r="G326" s="158" t="s">
        <v>1798</v>
      </c>
      <c r="H326" s="158" t="s">
        <v>1799</v>
      </c>
      <c r="I326" s="158" t="s">
        <v>1800</v>
      </c>
      <c r="J326" s="158" t="s">
        <v>1800</v>
      </c>
      <c r="K326" s="158" t="s">
        <v>71</v>
      </c>
      <c r="L326" s="158" t="s">
        <v>26</v>
      </c>
      <c r="M326" s="158" t="s">
        <v>72</v>
      </c>
      <c r="N326" s="158" t="s">
        <v>28</v>
      </c>
      <c r="O326" s="158" t="s">
        <v>29</v>
      </c>
      <c r="P326" s="158" t="s">
        <v>1801</v>
      </c>
    </row>
    <row r="327" spans="1:16" x14ac:dyDescent="0.25">
      <c r="A327" s="155" t="s">
        <v>1802</v>
      </c>
      <c r="B327" s="155" t="s">
        <v>1689</v>
      </c>
      <c r="C327" s="155" t="s">
        <v>1706</v>
      </c>
      <c r="D327" s="155" t="s">
        <v>1707</v>
      </c>
      <c r="E327" s="155" t="s">
        <v>525</v>
      </c>
      <c r="F327" s="155" t="s">
        <v>1691</v>
      </c>
      <c r="G327" s="158" t="s">
        <v>1803</v>
      </c>
      <c r="H327" s="158" t="s">
        <v>1804</v>
      </c>
      <c r="I327" s="158" t="s">
        <v>1805</v>
      </c>
      <c r="J327" s="158" t="s">
        <v>1805</v>
      </c>
      <c r="K327" s="158" t="s">
        <v>71</v>
      </c>
      <c r="L327" s="158" t="s">
        <v>26</v>
      </c>
      <c r="M327" s="158" t="s">
        <v>72</v>
      </c>
      <c r="N327" s="158" t="s">
        <v>28</v>
      </c>
      <c r="O327" s="158" t="s">
        <v>29</v>
      </c>
      <c r="P327" s="158" t="s">
        <v>1806</v>
      </c>
    </row>
    <row r="328" spans="1:16" x14ac:dyDescent="0.25">
      <c r="A328" s="155" t="s">
        <v>1807</v>
      </c>
      <c r="B328" s="155" t="s">
        <v>1689</v>
      </c>
      <c r="C328" s="155" t="s">
        <v>1712</v>
      </c>
      <c r="D328" s="155" t="s">
        <v>1713</v>
      </c>
      <c r="E328" s="155" t="s">
        <v>525</v>
      </c>
      <c r="F328" s="155" t="s">
        <v>1691</v>
      </c>
      <c r="G328" s="158" t="s">
        <v>1808</v>
      </c>
      <c r="H328" s="158" t="s">
        <v>1809</v>
      </c>
      <c r="I328" s="158" t="s">
        <v>1810</v>
      </c>
      <c r="J328" s="158" t="s">
        <v>1810</v>
      </c>
      <c r="K328" s="158" t="s">
        <v>71</v>
      </c>
      <c r="L328" s="158" t="s">
        <v>26</v>
      </c>
      <c r="M328" s="158" t="s">
        <v>72</v>
      </c>
      <c r="N328" s="158" t="s">
        <v>28</v>
      </c>
      <c r="O328" s="158" t="s">
        <v>29</v>
      </c>
      <c r="P328" s="158" t="s">
        <v>1811</v>
      </c>
    </row>
    <row r="329" spans="1:16" x14ac:dyDescent="0.25">
      <c r="A329" s="155" t="s">
        <v>1812</v>
      </c>
      <c r="B329" s="155" t="s">
        <v>1689</v>
      </c>
      <c r="C329" s="155" t="s">
        <v>1712</v>
      </c>
      <c r="D329" s="155" t="s">
        <v>1713</v>
      </c>
      <c r="E329" s="155" t="s">
        <v>525</v>
      </c>
      <c r="F329" s="155" t="s">
        <v>1691</v>
      </c>
      <c r="G329" s="158" t="s">
        <v>1813</v>
      </c>
      <c r="H329" s="158" t="s">
        <v>1814</v>
      </c>
      <c r="I329" s="158" t="s">
        <v>1815</v>
      </c>
      <c r="J329" s="158" t="s">
        <v>1815</v>
      </c>
      <c r="K329" s="158" t="s">
        <v>37</v>
      </c>
      <c r="L329" s="158" t="s">
        <v>26</v>
      </c>
      <c r="M329" s="158" t="s">
        <v>38</v>
      </c>
      <c r="N329" s="158" t="s">
        <v>28</v>
      </c>
      <c r="O329" s="158" t="s">
        <v>39</v>
      </c>
      <c r="P329" s="158" t="s">
        <v>1816</v>
      </c>
    </row>
    <row r="330" spans="1:16" x14ac:dyDescent="0.25">
      <c r="A330" s="155" t="s">
        <v>1817</v>
      </c>
      <c r="B330" s="155" t="s">
        <v>1689</v>
      </c>
      <c r="C330" s="155" t="s">
        <v>1712</v>
      </c>
      <c r="D330" s="155" t="s">
        <v>1713</v>
      </c>
      <c r="E330" s="155" t="s">
        <v>525</v>
      </c>
      <c r="F330" s="155" t="s">
        <v>1691</v>
      </c>
      <c r="G330" s="158" t="s">
        <v>1818</v>
      </c>
      <c r="H330" s="158" t="s">
        <v>1819</v>
      </c>
      <c r="I330" s="158" t="s">
        <v>1820</v>
      </c>
      <c r="J330" s="158" t="s">
        <v>1820</v>
      </c>
      <c r="K330" s="158" t="s">
        <v>71</v>
      </c>
      <c r="L330" s="158" t="s">
        <v>26</v>
      </c>
      <c r="M330" s="158" t="s">
        <v>72</v>
      </c>
      <c r="N330" s="158" t="s">
        <v>28</v>
      </c>
      <c r="O330" s="158" t="s">
        <v>29</v>
      </c>
      <c r="P330" s="158" t="s">
        <v>1821</v>
      </c>
    </row>
    <row r="331" spans="1:16" x14ac:dyDescent="0.25">
      <c r="A331" s="155" t="s">
        <v>1822</v>
      </c>
      <c r="B331" s="155" t="s">
        <v>1689</v>
      </c>
      <c r="C331" s="155" t="s">
        <v>1712</v>
      </c>
      <c r="D331" s="155" t="s">
        <v>1713</v>
      </c>
      <c r="E331" s="155" t="s">
        <v>525</v>
      </c>
      <c r="F331" s="155" t="s">
        <v>1691</v>
      </c>
      <c r="G331" s="158" t="s">
        <v>1823</v>
      </c>
      <c r="H331" s="158" t="s">
        <v>1824</v>
      </c>
      <c r="I331" s="158" t="s">
        <v>1825</v>
      </c>
      <c r="J331" s="158" t="s">
        <v>1825</v>
      </c>
      <c r="K331" s="158" t="s">
        <v>71</v>
      </c>
      <c r="L331" s="158" t="s">
        <v>26</v>
      </c>
      <c r="M331" s="158" t="s">
        <v>72</v>
      </c>
      <c r="N331" s="158" t="s">
        <v>28</v>
      </c>
      <c r="O331" s="158" t="s">
        <v>29</v>
      </c>
      <c r="P331" s="158" t="s">
        <v>1826</v>
      </c>
    </row>
    <row r="332" spans="1:16" x14ac:dyDescent="0.25">
      <c r="A332" s="155" t="s">
        <v>1827</v>
      </c>
      <c r="B332" s="155" t="s">
        <v>1689</v>
      </c>
      <c r="C332" s="155" t="s">
        <v>1712</v>
      </c>
      <c r="D332" s="155" t="s">
        <v>1713</v>
      </c>
      <c r="E332" s="155" t="s">
        <v>525</v>
      </c>
      <c r="F332" s="155" t="s">
        <v>1691</v>
      </c>
      <c r="G332" s="158" t="s">
        <v>1828</v>
      </c>
      <c r="H332" s="158" t="s">
        <v>1829</v>
      </c>
      <c r="I332" s="158" t="s">
        <v>1830</v>
      </c>
      <c r="J332" s="158" t="s">
        <v>1830</v>
      </c>
      <c r="K332" s="158" t="s">
        <v>71</v>
      </c>
      <c r="L332" s="158" t="s">
        <v>26</v>
      </c>
      <c r="M332" s="158" t="s">
        <v>72</v>
      </c>
      <c r="N332" s="158" t="s">
        <v>28</v>
      </c>
      <c r="O332" s="158" t="s">
        <v>29</v>
      </c>
      <c r="P332" s="158" t="s">
        <v>1831</v>
      </c>
    </row>
    <row r="333" spans="1:16" x14ac:dyDescent="0.25">
      <c r="A333" s="155" t="s">
        <v>1713</v>
      </c>
      <c r="B333" s="155" t="s">
        <v>1689</v>
      </c>
      <c r="C333" s="155" t="s">
        <v>1712</v>
      </c>
      <c r="D333" s="155" t="s">
        <v>1713</v>
      </c>
      <c r="E333" s="155" t="s">
        <v>525</v>
      </c>
      <c r="F333" s="155" t="s">
        <v>1691</v>
      </c>
      <c r="G333" s="158" t="s">
        <v>1832</v>
      </c>
      <c r="H333" s="158" t="s">
        <v>1833</v>
      </c>
      <c r="I333" s="158" t="s">
        <v>1834</v>
      </c>
      <c r="J333" s="158" t="s">
        <v>1834</v>
      </c>
      <c r="K333" s="158" t="s">
        <v>37</v>
      </c>
      <c r="L333" s="158" t="s">
        <v>26</v>
      </c>
      <c r="M333" s="158" t="s">
        <v>38</v>
      </c>
      <c r="N333" s="158" t="s">
        <v>28</v>
      </c>
      <c r="O333" s="158" t="s">
        <v>39</v>
      </c>
      <c r="P333" s="158" t="s">
        <v>1835</v>
      </c>
    </row>
    <row r="334" spans="1:16" x14ac:dyDescent="0.25">
      <c r="A334" s="155" t="s">
        <v>1836</v>
      </c>
      <c r="B334" s="155" t="s">
        <v>1689</v>
      </c>
      <c r="C334" s="155" t="s">
        <v>1712</v>
      </c>
      <c r="D334" s="155" t="s">
        <v>1713</v>
      </c>
      <c r="E334" s="155" t="s">
        <v>525</v>
      </c>
      <c r="F334" s="155" t="s">
        <v>1691</v>
      </c>
      <c r="G334" s="158" t="s">
        <v>1837</v>
      </c>
      <c r="H334" s="158" t="s">
        <v>1838</v>
      </c>
      <c r="I334" s="158" t="s">
        <v>1839</v>
      </c>
      <c r="J334" s="158" t="s">
        <v>1839</v>
      </c>
      <c r="K334" s="158" t="s">
        <v>37</v>
      </c>
      <c r="L334" s="158" t="s">
        <v>26</v>
      </c>
      <c r="M334" s="158" t="s">
        <v>38</v>
      </c>
      <c r="N334" s="158" t="s">
        <v>28</v>
      </c>
      <c r="O334" s="158" t="s">
        <v>39</v>
      </c>
      <c r="P334" s="158" t="s">
        <v>1840</v>
      </c>
    </row>
    <row r="335" spans="1:16" x14ac:dyDescent="0.25">
      <c r="A335" s="155" t="s">
        <v>1841</v>
      </c>
      <c r="B335" s="155" t="s">
        <v>1689</v>
      </c>
      <c r="C335" s="155" t="s">
        <v>1842</v>
      </c>
      <c r="D335" s="155" t="s">
        <v>1836</v>
      </c>
      <c r="E335" s="155" t="s">
        <v>525</v>
      </c>
      <c r="F335" s="155" t="s">
        <v>1691</v>
      </c>
      <c r="G335" s="158" t="s">
        <v>1843</v>
      </c>
      <c r="H335" s="158" t="s">
        <v>1844</v>
      </c>
      <c r="I335" s="158" t="s">
        <v>1845</v>
      </c>
      <c r="J335" s="158" t="s">
        <v>1845</v>
      </c>
      <c r="K335" s="158" t="s">
        <v>358</v>
      </c>
      <c r="L335" s="158" t="s">
        <v>26</v>
      </c>
      <c r="M335" s="158" t="s">
        <v>359</v>
      </c>
      <c r="N335" s="158" t="s">
        <v>28</v>
      </c>
      <c r="O335" s="158" t="s">
        <v>39</v>
      </c>
      <c r="P335" s="158" t="s">
        <v>1846</v>
      </c>
    </row>
    <row r="336" spans="1:16" x14ac:dyDescent="0.25">
      <c r="A336" s="155" t="s">
        <v>1847</v>
      </c>
      <c r="B336" s="155" t="s">
        <v>1689</v>
      </c>
      <c r="C336" s="155" t="s">
        <v>1848</v>
      </c>
      <c r="D336" s="155" t="s">
        <v>1847</v>
      </c>
      <c r="E336" s="155" t="s">
        <v>525</v>
      </c>
      <c r="F336" s="155" t="s">
        <v>1691</v>
      </c>
      <c r="G336" s="158" t="s">
        <v>1849</v>
      </c>
      <c r="H336" s="158" t="s">
        <v>1850</v>
      </c>
      <c r="I336" s="158" t="s">
        <v>1851</v>
      </c>
      <c r="J336" s="158" t="s">
        <v>1851</v>
      </c>
      <c r="K336" s="158" t="s">
        <v>372</v>
      </c>
      <c r="L336" s="158" t="s">
        <v>373</v>
      </c>
      <c r="M336" s="158" t="s">
        <v>374</v>
      </c>
      <c r="N336" s="158" t="s">
        <v>28</v>
      </c>
      <c r="O336" s="158" t="s">
        <v>375</v>
      </c>
      <c r="P336" s="158" t="s">
        <v>1852</v>
      </c>
    </row>
    <row r="337" spans="1:16" x14ac:dyDescent="0.25">
      <c r="A337" s="155" t="s">
        <v>1853</v>
      </c>
      <c r="B337" s="155" t="s">
        <v>1689</v>
      </c>
      <c r="C337" s="155" t="s">
        <v>1854</v>
      </c>
      <c r="D337" s="155" t="s">
        <v>1847</v>
      </c>
      <c r="E337" s="155" t="s">
        <v>525</v>
      </c>
      <c r="F337" s="155" t="s">
        <v>1691</v>
      </c>
      <c r="G337" s="158" t="s">
        <v>1855</v>
      </c>
      <c r="H337" s="158" t="s">
        <v>1856</v>
      </c>
      <c r="I337" s="158" t="s">
        <v>1857</v>
      </c>
      <c r="J337" s="158" t="s">
        <v>1857</v>
      </c>
      <c r="K337" s="158" t="s">
        <v>220</v>
      </c>
      <c r="L337" s="158" t="s">
        <v>26</v>
      </c>
      <c r="M337" s="158" t="s">
        <v>221</v>
      </c>
      <c r="N337" s="158" t="s">
        <v>28</v>
      </c>
      <c r="O337" s="158" t="s">
        <v>222</v>
      </c>
      <c r="P337" s="158" t="s">
        <v>1858</v>
      </c>
    </row>
    <row r="338" spans="1:16" x14ac:dyDescent="0.25">
      <c r="A338" s="155" t="s">
        <v>1859</v>
      </c>
      <c r="B338" s="155" t="s">
        <v>1689</v>
      </c>
      <c r="C338" s="155" t="s">
        <v>1860</v>
      </c>
      <c r="D338" s="155" t="s">
        <v>1861</v>
      </c>
      <c r="E338" s="155" t="s">
        <v>525</v>
      </c>
      <c r="F338" s="155" t="s">
        <v>1118</v>
      </c>
      <c r="G338" s="158" t="s">
        <v>1862</v>
      </c>
      <c r="H338" s="158" t="s">
        <v>1863</v>
      </c>
      <c r="I338" s="158" t="s">
        <v>1864</v>
      </c>
      <c r="J338" s="158" t="s">
        <v>1864</v>
      </c>
      <c r="K338" s="158" t="s">
        <v>383</v>
      </c>
      <c r="L338" s="158" t="s">
        <v>26</v>
      </c>
      <c r="M338" s="158" t="s">
        <v>384</v>
      </c>
      <c r="N338" s="158" t="s">
        <v>385</v>
      </c>
      <c r="O338" s="158" t="s">
        <v>386</v>
      </c>
      <c r="P338" s="158" t="s">
        <v>1865</v>
      </c>
    </row>
    <row r="339" spans="1:16" x14ac:dyDescent="0.25">
      <c r="A339" s="155" t="s">
        <v>1861</v>
      </c>
      <c r="B339" s="155" t="s">
        <v>1689</v>
      </c>
      <c r="C339" s="155" t="s">
        <v>1866</v>
      </c>
      <c r="D339" s="155" t="s">
        <v>1741</v>
      </c>
      <c r="E339" s="155" t="s">
        <v>525</v>
      </c>
      <c r="F339" s="155" t="s">
        <v>1118</v>
      </c>
      <c r="G339" s="158" t="s">
        <v>1867</v>
      </c>
      <c r="H339" s="158" t="s">
        <v>1868</v>
      </c>
      <c r="I339" s="158" t="s">
        <v>1869</v>
      </c>
      <c r="J339" s="158" t="s">
        <v>1869</v>
      </c>
      <c r="K339" s="158" t="s">
        <v>383</v>
      </c>
      <c r="L339" s="158" t="s">
        <v>26</v>
      </c>
      <c r="M339" s="158" t="s">
        <v>384</v>
      </c>
      <c r="N339" s="158" t="s">
        <v>385</v>
      </c>
      <c r="O339" s="158" t="s">
        <v>386</v>
      </c>
      <c r="P339" s="158" t="s">
        <v>1870</v>
      </c>
    </row>
    <row r="340" spans="1:16" x14ac:dyDescent="0.25">
      <c r="A340" s="155" t="s">
        <v>1871</v>
      </c>
      <c r="B340" s="155" t="s">
        <v>1689</v>
      </c>
      <c r="C340" s="155" t="s">
        <v>1872</v>
      </c>
      <c r="D340" s="155" t="s">
        <v>1871</v>
      </c>
      <c r="E340" s="155" t="s">
        <v>525</v>
      </c>
      <c r="F340" s="155" t="s">
        <v>1691</v>
      </c>
      <c r="G340" s="158" t="s">
        <v>1873</v>
      </c>
      <c r="H340" s="158" t="s">
        <v>1874</v>
      </c>
      <c r="I340" s="158" t="s">
        <v>1875</v>
      </c>
      <c r="J340" s="158" t="s">
        <v>1875</v>
      </c>
      <c r="K340" s="158" t="s">
        <v>220</v>
      </c>
      <c r="L340" s="158" t="s">
        <v>26</v>
      </c>
      <c r="M340" s="158" t="s">
        <v>221</v>
      </c>
      <c r="N340" s="158" t="s">
        <v>28</v>
      </c>
      <c r="O340" s="158" t="s">
        <v>222</v>
      </c>
      <c r="P340" s="158" t="s">
        <v>1876</v>
      </c>
    </row>
    <row r="341" spans="1:16" x14ac:dyDescent="0.25">
      <c r="A341" s="155" t="s">
        <v>1877</v>
      </c>
      <c r="B341" s="155" t="s">
        <v>1689</v>
      </c>
      <c r="C341" s="155" t="s">
        <v>1878</v>
      </c>
      <c r="D341" s="155" t="s">
        <v>1877</v>
      </c>
      <c r="E341" s="155" t="s">
        <v>525</v>
      </c>
      <c r="F341" s="155" t="s">
        <v>1691</v>
      </c>
      <c r="G341" s="158" t="s">
        <v>1879</v>
      </c>
      <c r="H341" s="158" t="s">
        <v>1880</v>
      </c>
      <c r="I341" s="158" t="s">
        <v>1881</v>
      </c>
      <c r="J341" s="158" t="s">
        <v>1881</v>
      </c>
      <c r="K341" s="158" t="s">
        <v>220</v>
      </c>
      <c r="L341" s="158" t="s">
        <v>26</v>
      </c>
      <c r="M341" s="158" t="s">
        <v>221</v>
      </c>
      <c r="N341" s="158" t="s">
        <v>28</v>
      </c>
      <c r="O341" s="158" t="s">
        <v>222</v>
      </c>
      <c r="P341" s="158" t="s">
        <v>1882</v>
      </c>
    </row>
    <row r="342" spans="1:16" x14ac:dyDescent="0.25">
      <c r="A342" s="155" t="s">
        <v>1883</v>
      </c>
      <c r="B342" s="155" t="s">
        <v>1689</v>
      </c>
      <c r="C342" s="155" t="s">
        <v>1884</v>
      </c>
      <c r="D342" s="155" t="s">
        <v>1883</v>
      </c>
      <c r="E342" s="155" t="s">
        <v>525</v>
      </c>
      <c r="F342" s="155" t="s">
        <v>1691</v>
      </c>
      <c r="G342" s="158" t="s">
        <v>1885</v>
      </c>
      <c r="H342" s="158" t="s">
        <v>1886</v>
      </c>
      <c r="I342" s="158" t="s">
        <v>1887</v>
      </c>
      <c r="J342" s="158" t="s">
        <v>1887</v>
      </c>
      <c r="K342" s="158" t="s">
        <v>220</v>
      </c>
      <c r="L342" s="158" t="s">
        <v>26</v>
      </c>
      <c r="M342" s="158" t="s">
        <v>221</v>
      </c>
      <c r="N342" s="158" t="s">
        <v>28</v>
      </c>
      <c r="O342" s="158" t="s">
        <v>222</v>
      </c>
      <c r="P342" s="158" t="s">
        <v>1888</v>
      </c>
    </row>
    <row r="343" spans="1:16" x14ac:dyDescent="0.25">
      <c r="A343" s="155" t="s">
        <v>1889</v>
      </c>
      <c r="B343" s="155" t="s">
        <v>1689</v>
      </c>
      <c r="C343" s="155" t="s">
        <v>1890</v>
      </c>
      <c r="D343" s="155" t="s">
        <v>1889</v>
      </c>
      <c r="E343" s="155" t="s">
        <v>525</v>
      </c>
      <c r="F343" s="155" t="s">
        <v>1691</v>
      </c>
      <c r="G343" s="158" t="s">
        <v>1891</v>
      </c>
      <c r="H343" s="158" t="s">
        <v>1892</v>
      </c>
      <c r="I343" s="158" t="s">
        <v>1893</v>
      </c>
      <c r="J343" s="158" t="s">
        <v>1893</v>
      </c>
      <c r="K343" s="158" t="s">
        <v>220</v>
      </c>
      <c r="L343" s="158" t="s">
        <v>26</v>
      </c>
      <c r="M343" s="158" t="s">
        <v>221</v>
      </c>
      <c r="N343" s="158" t="s">
        <v>28</v>
      </c>
      <c r="O343" s="158" t="s">
        <v>222</v>
      </c>
      <c r="P343" s="158" t="s">
        <v>1894</v>
      </c>
    </row>
    <row r="344" spans="1:16" x14ac:dyDescent="0.25">
      <c r="A344" s="155" t="s">
        <v>1895</v>
      </c>
      <c r="B344" s="155" t="s">
        <v>1689</v>
      </c>
      <c r="C344" s="155" t="s">
        <v>1872</v>
      </c>
      <c r="D344" s="155" t="s">
        <v>1895</v>
      </c>
      <c r="E344" s="155" t="s">
        <v>525</v>
      </c>
      <c r="F344" s="155" t="s">
        <v>1691</v>
      </c>
      <c r="G344" s="158" t="s">
        <v>1896</v>
      </c>
      <c r="H344" s="158" t="s">
        <v>1897</v>
      </c>
      <c r="I344" s="158" t="s">
        <v>1898</v>
      </c>
      <c r="J344" s="158" t="s">
        <v>1898</v>
      </c>
      <c r="K344" s="158" t="s">
        <v>220</v>
      </c>
      <c r="L344" s="158" t="s">
        <v>26</v>
      </c>
      <c r="M344" s="158" t="s">
        <v>221</v>
      </c>
      <c r="N344" s="158" t="s">
        <v>28</v>
      </c>
      <c r="O344" s="158" t="s">
        <v>222</v>
      </c>
      <c r="P344" s="158" t="s">
        <v>1899</v>
      </c>
    </row>
    <row r="345" spans="1:16" x14ac:dyDescent="0.25">
      <c r="A345" s="155" t="s">
        <v>1900</v>
      </c>
      <c r="B345" s="155" t="s">
        <v>1689</v>
      </c>
      <c r="C345" s="155" t="s">
        <v>1015</v>
      </c>
      <c r="D345" s="155" t="s">
        <v>1015</v>
      </c>
      <c r="E345" s="155" t="s">
        <v>1015</v>
      </c>
      <c r="F345" s="155" t="s">
        <v>1015</v>
      </c>
      <c r="G345" s="158" t="s">
        <v>1901</v>
      </c>
      <c r="H345" s="158" t="s">
        <v>1902</v>
      </c>
      <c r="I345" s="158" t="s">
        <v>1903</v>
      </c>
      <c r="J345" s="158" t="s">
        <v>1903</v>
      </c>
      <c r="K345" s="158" t="s">
        <v>1019</v>
      </c>
      <c r="L345" s="158" t="s">
        <v>26</v>
      </c>
      <c r="M345" s="158" t="s">
        <v>1020</v>
      </c>
      <c r="N345" s="158" t="s">
        <v>28</v>
      </c>
      <c r="O345" s="158" t="s">
        <v>1021</v>
      </c>
      <c r="P345" s="158" t="s">
        <v>1904</v>
      </c>
    </row>
    <row r="346" spans="1:16" x14ac:dyDescent="0.25">
      <c r="A346" s="155" t="s">
        <v>1905</v>
      </c>
      <c r="B346" s="155" t="s">
        <v>1689</v>
      </c>
      <c r="C346" s="155" t="s">
        <v>1015</v>
      </c>
      <c r="D346" s="155" t="s">
        <v>1015</v>
      </c>
      <c r="E346" s="155" t="s">
        <v>1015</v>
      </c>
      <c r="F346" s="155" t="s">
        <v>1015</v>
      </c>
      <c r="G346" s="158" t="s">
        <v>1906</v>
      </c>
      <c r="H346" s="158" t="s">
        <v>1907</v>
      </c>
      <c r="I346" s="158" t="s">
        <v>1908</v>
      </c>
      <c r="J346" s="158" t="s">
        <v>1908</v>
      </c>
      <c r="K346" s="158" t="s">
        <v>1019</v>
      </c>
      <c r="L346" s="158" t="s">
        <v>26</v>
      </c>
      <c r="M346" s="158" t="s">
        <v>1020</v>
      </c>
      <c r="N346" s="158" t="s">
        <v>28</v>
      </c>
      <c r="O346" s="158" t="s">
        <v>1021</v>
      </c>
      <c r="P346" s="158" t="s">
        <v>1909</v>
      </c>
    </row>
    <row r="347" spans="1:16" x14ac:dyDescent="0.25">
      <c r="A347" s="155" t="s">
        <v>1910</v>
      </c>
      <c r="B347" s="155" t="s">
        <v>1689</v>
      </c>
      <c r="C347" s="155" t="s">
        <v>1015</v>
      </c>
      <c r="D347" s="155" t="s">
        <v>1015</v>
      </c>
      <c r="E347" s="155" t="s">
        <v>1015</v>
      </c>
      <c r="F347" s="155" t="s">
        <v>1015</v>
      </c>
      <c r="G347" s="158" t="s">
        <v>1911</v>
      </c>
      <c r="H347" s="158" t="s">
        <v>1912</v>
      </c>
      <c r="I347" s="158" t="s">
        <v>1913</v>
      </c>
      <c r="J347" s="158" t="s">
        <v>1913</v>
      </c>
      <c r="K347" s="158" t="s">
        <v>1019</v>
      </c>
      <c r="L347" s="158" t="s">
        <v>26</v>
      </c>
      <c r="M347" s="158" t="s">
        <v>1020</v>
      </c>
      <c r="N347" s="158" t="s">
        <v>28</v>
      </c>
      <c r="O347" s="158" t="s">
        <v>1021</v>
      </c>
      <c r="P347" s="158" t="s">
        <v>1914</v>
      </c>
    </row>
    <row r="348" spans="1:16" x14ac:dyDescent="0.25">
      <c r="A348" s="155" t="s">
        <v>1915</v>
      </c>
      <c r="B348" s="155" t="s">
        <v>1689</v>
      </c>
      <c r="C348" s="155" t="s">
        <v>1015</v>
      </c>
      <c r="D348" s="155" t="s">
        <v>1015</v>
      </c>
      <c r="E348" s="155" t="s">
        <v>1015</v>
      </c>
      <c r="F348" s="155" t="s">
        <v>1015</v>
      </c>
      <c r="G348" s="158" t="s">
        <v>1916</v>
      </c>
      <c r="H348" s="158" t="s">
        <v>1917</v>
      </c>
      <c r="I348" s="158" t="s">
        <v>1918</v>
      </c>
      <c r="J348" s="158" t="s">
        <v>1918</v>
      </c>
      <c r="K348" s="158" t="s">
        <v>1019</v>
      </c>
      <c r="L348" s="158" t="s">
        <v>26</v>
      </c>
      <c r="M348" s="158" t="s">
        <v>1020</v>
      </c>
      <c r="N348" s="158" t="s">
        <v>28</v>
      </c>
      <c r="O348" s="158" t="s">
        <v>1021</v>
      </c>
      <c r="P348" s="158" t="s">
        <v>1919</v>
      </c>
    </row>
    <row r="349" spans="1:16" x14ac:dyDescent="0.25">
      <c r="A349" s="155" t="s">
        <v>1920</v>
      </c>
      <c r="B349" s="155" t="s">
        <v>1921</v>
      </c>
      <c r="C349" s="155" t="s">
        <v>1922</v>
      </c>
      <c r="D349" s="155" t="s">
        <v>1920</v>
      </c>
      <c r="E349" s="155" t="s">
        <v>1117</v>
      </c>
      <c r="F349" s="155" t="s">
        <v>1923</v>
      </c>
      <c r="G349" s="158" t="s">
        <v>1924</v>
      </c>
      <c r="H349" s="158" t="s">
        <v>1925</v>
      </c>
      <c r="I349" s="158" t="s">
        <v>1926</v>
      </c>
      <c r="J349" s="158" t="s">
        <v>1926</v>
      </c>
      <c r="K349" s="158" t="s">
        <v>235</v>
      </c>
      <c r="L349" s="158" t="s">
        <v>26</v>
      </c>
      <c r="M349" s="158" t="s">
        <v>236</v>
      </c>
      <c r="N349" s="158" t="s">
        <v>28</v>
      </c>
      <c r="O349" s="158" t="s">
        <v>39</v>
      </c>
      <c r="P349" s="158" t="s">
        <v>1927</v>
      </c>
    </row>
    <row r="350" spans="1:16" x14ac:dyDescent="0.25">
      <c r="A350" s="155" t="s">
        <v>1928</v>
      </c>
      <c r="B350" s="155" t="s">
        <v>1921</v>
      </c>
      <c r="C350" s="155" t="s">
        <v>1929</v>
      </c>
      <c r="D350" s="155" t="s">
        <v>1930</v>
      </c>
      <c r="E350" s="155" t="s">
        <v>1117</v>
      </c>
      <c r="F350" s="155" t="s">
        <v>1923</v>
      </c>
      <c r="G350" s="161" t="s">
        <v>1931</v>
      </c>
      <c r="H350" s="161"/>
      <c r="K350" s="158" t="s">
        <v>71</v>
      </c>
      <c r="L350" s="158" t="s">
        <v>26</v>
      </c>
      <c r="M350" s="158" t="s">
        <v>72</v>
      </c>
      <c r="N350" s="158" t="s">
        <v>28</v>
      </c>
    </row>
    <row r="351" spans="1:16" x14ac:dyDescent="0.25">
      <c r="A351" s="155" t="s">
        <v>1932</v>
      </c>
      <c r="B351" s="155" t="s">
        <v>1921</v>
      </c>
      <c r="C351" s="155" t="s">
        <v>1929</v>
      </c>
      <c r="D351" s="155" t="s">
        <v>1930</v>
      </c>
      <c r="E351" s="155" t="s">
        <v>1117</v>
      </c>
      <c r="F351" s="155" t="s">
        <v>1923</v>
      </c>
      <c r="G351" s="158" t="s">
        <v>1933</v>
      </c>
      <c r="H351" s="158" t="s">
        <v>1934</v>
      </c>
      <c r="I351" s="158" t="s">
        <v>1935</v>
      </c>
      <c r="J351" s="158" t="s">
        <v>1935</v>
      </c>
      <c r="K351" s="158" t="s">
        <v>156</v>
      </c>
      <c r="L351" s="158" t="s">
        <v>26</v>
      </c>
      <c r="M351" s="158" t="s">
        <v>157</v>
      </c>
      <c r="N351" s="158" t="s">
        <v>28</v>
      </c>
      <c r="O351" s="158" t="s">
        <v>29</v>
      </c>
      <c r="P351" s="158" t="s">
        <v>1936</v>
      </c>
    </row>
    <row r="352" spans="1:16" x14ac:dyDescent="0.25">
      <c r="A352" s="155" t="s">
        <v>1937</v>
      </c>
      <c r="B352" s="155" t="s">
        <v>1921</v>
      </c>
      <c r="C352" s="155" t="s">
        <v>1929</v>
      </c>
      <c r="D352" s="155" t="s">
        <v>1930</v>
      </c>
      <c r="E352" s="155" t="s">
        <v>1117</v>
      </c>
      <c r="F352" s="155" t="s">
        <v>1923</v>
      </c>
      <c r="G352" s="158" t="s">
        <v>1938</v>
      </c>
      <c r="H352" s="158" t="s">
        <v>1939</v>
      </c>
      <c r="I352" s="158" t="s">
        <v>1940</v>
      </c>
      <c r="J352" s="158" t="s">
        <v>1940</v>
      </c>
      <c r="K352" s="158" t="s">
        <v>45</v>
      </c>
      <c r="L352" s="158" t="s">
        <v>26</v>
      </c>
      <c r="M352" s="158" t="s">
        <v>46</v>
      </c>
      <c r="N352" s="158" t="s">
        <v>28</v>
      </c>
      <c r="O352" s="158" t="s">
        <v>29</v>
      </c>
      <c r="P352" s="158" t="s">
        <v>1941</v>
      </c>
    </row>
    <row r="353" spans="1:16" x14ac:dyDescent="0.25">
      <c r="A353" s="155" t="s">
        <v>1942</v>
      </c>
      <c r="B353" s="155" t="s">
        <v>1921</v>
      </c>
      <c r="C353" s="155" t="s">
        <v>1929</v>
      </c>
      <c r="D353" s="155" t="s">
        <v>1930</v>
      </c>
      <c r="E353" s="155" t="s">
        <v>1117</v>
      </c>
      <c r="F353" s="155" t="s">
        <v>1923</v>
      </c>
      <c r="G353" s="158" t="s">
        <v>1943</v>
      </c>
      <c r="H353" s="158" t="s">
        <v>1944</v>
      </c>
      <c r="I353" s="158" t="s">
        <v>1945</v>
      </c>
      <c r="J353" s="158" t="s">
        <v>1945</v>
      </c>
      <c r="K353" s="158" t="s">
        <v>71</v>
      </c>
      <c r="L353" s="158" t="s">
        <v>26</v>
      </c>
      <c r="M353" s="158" t="s">
        <v>72</v>
      </c>
      <c r="N353" s="158" t="s">
        <v>28</v>
      </c>
      <c r="O353" s="158" t="s">
        <v>29</v>
      </c>
      <c r="P353" s="158" t="s">
        <v>1946</v>
      </c>
    </row>
    <row r="354" spans="1:16" x14ac:dyDescent="0.25">
      <c r="A354" s="155" t="s">
        <v>1947</v>
      </c>
      <c r="B354" s="155" t="s">
        <v>1921</v>
      </c>
      <c r="C354" s="155" t="s">
        <v>1929</v>
      </c>
      <c r="D354" s="155" t="s">
        <v>1930</v>
      </c>
      <c r="E354" s="155" t="s">
        <v>1117</v>
      </c>
      <c r="F354" s="155" t="s">
        <v>1923</v>
      </c>
      <c r="G354" s="158" t="s">
        <v>1948</v>
      </c>
      <c r="H354" s="158" t="s">
        <v>1949</v>
      </c>
      <c r="I354" s="158" t="s">
        <v>1950</v>
      </c>
      <c r="J354" s="158" t="s">
        <v>1950</v>
      </c>
      <c r="K354" s="158" t="s">
        <v>71</v>
      </c>
      <c r="L354" s="158" t="s">
        <v>26</v>
      </c>
      <c r="M354" s="158" t="s">
        <v>72</v>
      </c>
      <c r="N354" s="158" t="s">
        <v>28</v>
      </c>
      <c r="O354" s="158" t="s">
        <v>29</v>
      </c>
      <c r="P354" s="158" t="s">
        <v>1951</v>
      </c>
    </row>
    <row r="355" spans="1:16" x14ac:dyDescent="0.25">
      <c r="A355" s="155" t="s">
        <v>1952</v>
      </c>
      <c r="B355" s="155" t="s">
        <v>1921</v>
      </c>
      <c r="C355" s="155" t="s">
        <v>1929</v>
      </c>
      <c r="D355" s="155" t="s">
        <v>1930</v>
      </c>
      <c r="E355" s="155" t="s">
        <v>1117</v>
      </c>
      <c r="F355" s="155" t="s">
        <v>1923</v>
      </c>
      <c r="G355" s="158" t="s">
        <v>1953</v>
      </c>
      <c r="H355" s="158" t="s">
        <v>1954</v>
      </c>
      <c r="I355" s="158" t="s">
        <v>1955</v>
      </c>
      <c r="J355" s="158" t="s">
        <v>1955</v>
      </c>
      <c r="K355" s="158" t="s">
        <v>71</v>
      </c>
      <c r="L355" s="158" t="s">
        <v>26</v>
      </c>
      <c r="M355" s="158" t="s">
        <v>72</v>
      </c>
      <c r="N355" s="158" t="s">
        <v>28</v>
      </c>
      <c r="O355" s="158" t="s">
        <v>29</v>
      </c>
      <c r="P355" s="158" t="s">
        <v>1956</v>
      </c>
    </row>
    <row r="356" spans="1:16" x14ac:dyDescent="0.25">
      <c r="A356" s="155" t="s">
        <v>1930</v>
      </c>
      <c r="B356" s="155" t="s">
        <v>1921</v>
      </c>
      <c r="C356" s="155" t="s">
        <v>1929</v>
      </c>
      <c r="D356" s="155" t="s">
        <v>1930</v>
      </c>
      <c r="E356" s="155" t="s">
        <v>1117</v>
      </c>
      <c r="F356" s="155" t="s">
        <v>1923</v>
      </c>
      <c r="G356" s="158" t="s">
        <v>1957</v>
      </c>
      <c r="H356" s="158" t="s">
        <v>1958</v>
      </c>
      <c r="I356" s="158" t="s">
        <v>1959</v>
      </c>
      <c r="J356" s="158" t="s">
        <v>1959</v>
      </c>
      <c r="K356" s="158" t="s">
        <v>71</v>
      </c>
      <c r="L356" s="158" t="s">
        <v>26</v>
      </c>
      <c r="M356" s="158" t="s">
        <v>72</v>
      </c>
      <c r="N356" s="158" t="s">
        <v>28</v>
      </c>
      <c r="O356" s="158" t="s">
        <v>29</v>
      </c>
      <c r="P356" s="158" t="s">
        <v>1960</v>
      </c>
    </row>
    <row r="357" spans="1:16" x14ac:dyDescent="0.25">
      <c r="A357" s="155" t="s">
        <v>1961</v>
      </c>
      <c r="B357" s="155" t="s">
        <v>1921</v>
      </c>
      <c r="C357" s="155" t="s">
        <v>1929</v>
      </c>
      <c r="D357" s="155" t="s">
        <v>1930</v>
      </c>
      <c r="E357" s="155" t="s">
        <v>1117</v>
      </c>
      <c r="F357" s="155" t="s">
        <v>1923</v>
      </c>
      <c r="G357" s="158" t="s">
        <v>1962</v>
      </c>
      <c r="H357" s="158" t="s">
        <v>1963</v>
      </c>
      <c r="I357" s="158" t="s">
        <v>1964</v>
      </c>
      <c r="J357" s="158" t="s">
        <v>1964</v>
      </c>
      <c r="K357" s="158" t="s">
        <v>71</v>
      </c>
      <c r="L357" s="158" t="s">
        <v>26</v>
      </c>
      <c r="M357" s="158" t="s">
        <v>72</v>
      </c>
      <c r="N357" s="158" t="s">
        <v>28</v>
      </c>
      <c r="O357" s="158" t="s">
        <v>29</v>
      </c>
      <c r="P357" s="158" t="s">
        <v>1965</v>
      </c>
    </row>
    <row r="358" spans="1:16" x14ac:dyDescent="0.25">
      <c r="A358" s="155" t="s">
        <v>1966</v>
      </c>
      <c r="B358" s="155" t="s">
        <v>1921</v>
      </c>
      <c r="C358" s="155" t="s">
        <v>1929</v>
      </c>
      <c r="D358" s="155" t="s">
        <v>1930</v>
      </c>
      <c r="E358" s="155" t="s">
        <v>1117</v>
      </c>
      <c r="F358" s="155" t="s">
        <v>1923</v>
      </c>
      <c r="G358" s="158" t="s">
        <v>1967</v>
      </c>
      <c r="H358" s="158" t="s">
        <v>1968</v>
      </c>
      <c r="I358" s="158" t="s">
        <v>1969</v>
      </c>
      <c r="J358" s="158" t="s">
        <v>1969</v>
      </c>
      <c r="K358" s="158" t="s">
        <v>71</v>
      </c>
      <c r="L358" s="158" t="s">
        <v>26</v>
      </c>
      <c r="M358" s="158" t="s">
        <v>72</v>
      </c>
      <c r="N358" s="158" t="s">
        <v>28</v>
      </c>
      <c r="O358" s="158" t="s">
        <v>29</v>
      </c>
      <c r="P358" s="158" t="s">
        <v>1970</v>
      </c>
    </row>
    <row r="359" spans="1:16" x14ac:dyDescent="0.25">
      <c r="A359" s="155" t="s">
        <v>1971</v>
      </c>
      <c r="B359" s="155" t="s">
        <v>1921</v>
      </c>
      <c r="C359" s="155" t="s">
        <v>1929</v>
      </c>
      <c r="D359" s="155" t="s">
        <v>1930</v>
      </c>
      <c r="E359" s="155" t="s">
        <v>1117</v>
      </c>
      <c r="F359" s="155" t="s">
        <v>1923</v>
      </c>
      <c r="G359" s="158" t="s">
        <v>1972</v>
      </c>
      <c r="H359" s="158" t="s">
        <v>1973</v>
      </c>
      <c r="I359" s="158" t="s">
        <v>1974</v>
      </c>
      <c r="J359" s="158" t="s">
        <v>1974</v>
      </c>
      <c r="K359" s="158" t="s">
        <v>71</v>
      </c>
      <c r="L359" s="158" t="s">
        <v>26</v>
      </c>
      <c r="M359" s="158" t="s">
        <v>72</v>
      </c>
      <c r="N359" s="158" t="s">
        <v>28</v>
      </c>
      <c r="O359" s="158" t="s">
        <v>29</v>
      </c>
      <c r="P359" s="158" t="s">
        <v>1975</v>
      </c>
    </row>
    <row r="360" spans="1:16" x14ac:dyDescent="0.25">
      <c r="A360" s="155" t="s">
        <v>1976</v>
      </c>
      <c r="B360" s="155" t="s">
        <v>1921</v>
      </c>
      <c r="C360" s="155" t="s">
        <v>1929</v>
      </c>
      <c r="D360" s="155" t="s">
        <v>1930</v>
      </c>
      <c r="E360" s="155" t="s">
        <v>1117</v>
      </c>
      <c r="F360" s="155" t="s">
        <v>1923</v>
      </c>
      <c r="G360" s="158" t="s">
        <v>1977</v>
      </c>
      <c r="H360" s="158" t="s">
        <v>1978</v>
      </c>
      <c r="I360" s="158" t="s">
        <v>1979</v>
      </c>
      <c r="J360" s="158" t="s">
        <v>1979</v>
      </c>
      <c r="K360" s="158" t="s">
        <v>71</v>
      </c>
      <c r="L360" s="158" t="s">
        <v>26</v>
      </c>
      <c r="M360" s="158" t="s">
        <v>72</v>
      </c>
      <c r="N360" s="158" t="s">
        <v>28</v>
      </c>
      <c r="O360" s="158" t="s">
        <v>29</v>
      </c>
      <c r="P360" s="158" t="s">
        <v>1980</v>
      </c>
    </row>
    <row r="361" spans="1:16" x14ac:dyDescent="0.25">
      <c r="A361" s="155" t="s">
        <v>1981</v>
      </c>
      <c r="B361" s="155" t="s">
        <v>1921</v>
      </c>
      <c r="C361" s="155" t="s">
        <v>1929</v>
      </c>
      <c r="D361" s="155" t="s">
        <v>1930</v>
      </c>
      <c r="E361" s="155" t="s">
        <v>1117</v>
      </c>
      <c r="F361" s="155" t="s">
        <v>1923</v>
      </c>
      <c r="G361" s="158" t="s">
        <v>1982</v>
      </c>
      <c r="H361" s="158" t="s">
        <v>1983</v>
      </c>
      <c r="I361" s="158" t="s">
        <v>1984</v>
      </c>
      <c r="J361" s="158" t="s">
        <v>1984</v>
      </c>
      <c r="K361" s="158" t="s">
        <v>71</v>
      </c>
      <c r="L361" s="158" t="s">
        <v>26</v>
      </c>
      <c r="M361" s="158" t="s">
        <v>72</v>
      </c>
      <c r="N361" s="158" t="s">
        <v>28</v>
      </c>
      <c r="O361" s="158" t="s">
        <v>29</v>
      </c>
      <c r="P361" s="158" t="s">
        <v>1985</v>
      </c>
    </row>
    <row r="362" spans="1:16" x14ac:dyDescent="0.25">
      <c r="A362" s="155" t="s">
        <v>1986</v>
      </c>
      <c r="B362" s="155" t="s">
        <v>1921</v>
      </c>
      <c r="C362" s="155" t="s">
        <v>1987</v>
      </c>
      <c r="D362" s="155" t="s">
        <v>1988</v>
      </c>
      <c r="E362" s="155" t="s">
        <v>1989</v>
      </c>
      <c r="F362" s="155" t="s">
        <v>1923</v>
      </c>
      <c r="G362" s="158" t="s">
        <v>1990</v>
      </c>
      <c r="H362" s="158" t="s">
        <v>1991</v>
      </c>
      <c r="I362" s="158" t="s">
        <v>1992</v>
      </c>
      <c r="J362" s="158" t="s">
        <v>1992</v>
      </c>
      <c r="K362" s="158" t="s">
        <v>71</v>
      </c>
      <c r="L362" s="158" t="s">
        <v>26</v>
      </c>
      <c r="M362" s="158" t="s">
        <v>72</v>
      </c>
      <c r="N362" s="158" t="s">
        <v>28</v>
      </c>
      <c r="O362" s="158" t="s">
        <v>29</v>
      </c>
      <c r="P362" s="158" t="s">
        <v>1993</v>
      </c>
    </row>
    <row r="363" spans="1:16" x14ac:dyDescent="0.25">
      <c r="A363" s="155" t="s">
        <v>1994</v>
      </c>
      <c r="B363" s="155" t="s">
        <v>1921</v>
      </c>
      <c r="C363" s="155" t="s">
        <v>1987</v>
      </c>
      <c r="D363" s="155" t="s">
        <v>1988</v>
      </c>
      <c r="E363" s="155" t="s">
        <v>1989</v>
      </c>
      <c r="F363" s="155" t="s">
        <v>1923</v>
      </c>
      <c r="G363" s="158" t="s">
        <v>1995</v>
      </c>
      <c r="H363" s="158" t="s">
        <v>1996</v>
      </c>
      <c r="I363" s="158" t="s">
        <v>1997</v>
      </c>
      <c r="J363" s="158" t="s">
        <v>1997</v>
      </c>
      <c r="K363" s="158" t="s">
        <v>71</v>
      </c>
      <c r="L363" s="158" t="s">
        <v>26</v>
      </c>
      <c r="M363" s="158" t="s">
        <v>72</v>
      </c>
      <c r="N363" s="158" t="s">
        <v>28</v>
      </c>
      <c r="O363" s="158" t="s">
        <v>29</v>
      </c>
      <c r="P363" s="158" t="s">
        <v>1998</v>
      </c>
    </row>
    <row r="364" spans="1:16" x14ac:dyDescent="0.25">
      <c r="A364" s="155" t="s">
        <v>1999</v>
      </c>
      <c r="B364" s="155" t="s">
        <v>1921</v>
      </c>
      <c r="C364" s="155" t="s">
        <v>1987</v>
      </c>
      <c r="D364" s="155" t="s">
        <v>1988</v>
      </c>
      <c r="E364" s="155" t="s">
        <v>1989</v>
      </c>
      <c r="F364" s="155" t="s">
        <v>1923</v>
      </c>
      <c r="G364" s="158" t="s">
        <v>2000</v>
      </c>
      <c r="H364" s="158" t="s">
        <v>2001</v>
      </c>
      <c r="I364" s="158" t="s">
        <v>2002</v>
      </c>
      <c r="J364" s="158" t="s">
        <v>2002</v>
      </c>
      <c r="K364" s="158" t="s">
        <v>71</v>
      </c>
      <c r="L364" s="158" t="s">
        <v>26</v>
      </c>
      <c r="M364" s="158" t="s">
        <v>72</v>
      </c>
      <c r="N364" s="158" t="s">
        <v>28</v>
      </c>
      <c r="O364" s="158" t="s">
        <v>29</v>
      </c>
      <c r="P364" s="158" t="s">
        <v>2003</v>
      </c>
    </row>
    <row r="365" spans="1:16" x14ac:dyDescent="0.25">
      <c r="A365" s="155" t="s">
        <v>1988</v>
      </c>
      <c r="B365" s="155" t="s">
        <v>1921</v>
      </c>
      <c r="C365" s="155" t="s">
        <v>1987</v>
      </c>
      <c r="D365" s="155" t="s">
        <v>1988</v>
      </c>
      <c r="E365" s="155" t="s">
        <v>1989</v>
      </c>
      <c r="F365" s="155" t="s">
        <v>1923</v>
      </c>
      <c r="G365" s="158" t="s">
        <v>2004</v>
      </c>
      <c r="H365" s="158" t="s">
        <v>2005</v>
      </c>
      <c r="I365" s="158" t="s">
        <v>2006</v>
      </c>
      <c r="J365" s="158" t="s">
        <v>2006</v>
      </c>
      <c r="K365" s="158" t="s">
        <v>71</v>
      </c>
      <c r="L365" s="158" t="s">
        <v>26</v>
      </c>
      <c r="M365" s="158" t="s">
        <v>72</v>
      </c>
      <c r="N365" s="158" t="s">
        <v>28</v>
      </c>
      <c r="O365" s="158" t="s">
        <v>29</v>
      </c>
      <c r="P365" s="158" t="s">
        <v>2007</v>
      </c>
    </row>
    <row r="366" spans="1:16" x14ac:dyDescent="0.25">
      <c r="A366" s="155" t="s">
        <v>2008</v>
      </c>
      <c r="B366" s="155" t="s">
        <v>1921</v>
      </c>
      <c r="C366" s="155" t="s">
        <v>1987</v>
      </c>
      <c r="D366" s="155" t="s">
        <v>1988</v>
      </c>
      <c r="E366" s="155" t="s">
        <v>1989</v>
      </c>
      <c r="F366" s="155" t="s">
        <v>1923</v>
      </c>
      <c r="G366" s="158" t="s">
        <v>2009</v>
      </c>
      <c r="H366" s="158" t="s">
        <v>2010</v>
      </c>
      <c r="I366" s="158" t="s">
        <v>2011</v>
      </c>
      <c r="J366" s="158" t="s">
        <v>2011</v>
      </c>
      <c r="K366" s="158" t="s">
        <v>71</v>
      </c>
      <c r="L366" s="158" t="s">
        <v>26</v>
      </c>
      <c r="M366" s="158" t="s">
        <v>72</v>
      </c>
      <c r="N366" s="158" t="s">
        <v>28</v>
      </c>
      <c r="O366" s="158" t="s">
        <v>29</v>
      </c>
      <c r="P366" s="158" t="s">
        <v>2012</v>
      </c>
    </row>
    <row r="367" spans="1:16" x14ac:dyDescent="0.25">
      <c r="A367" s="155" t="s">
        <v>2013</v>
      </c>
      <c r="B367" s="155" t="s">
        <v>1921</v>
      </c>
      <c r="C367" s="155" t="s">
        <v>1987</v>
      </c>
      <c r="D367" s="155" t="s">
        <v>1988</v>
      </c>
      <c r="E367" s="155" t="s">
        <v>1989</v>
      </c>
      <c r="F367" s="155" t="s">
        <v>1923</v>
      </c>
      <c r="G367" s="158" t="s">
        <v>2014</v>
      </c>
      <c r="H367" s="158" t="s">
        <v>2015</v>
      </c>
      <c r="I367" s="158" t="s">
        <v>2016</v>
      </c>
      <c r="J367" s="158" t="s">
        <v>2016</v>
      </c>
      <c r="K367" s="158" t="s">
        <v>71</v>
      </c>
      <c r="L367" s="158" t="s">
        <v>26</v>
      </c>
      <c r="M367" s="158" t="s">
        <v>72</v>
      </c>
      <c r="N367" s="158" t="s">
        <v>28</v>
      </c>
      <c r="O367" s="158" t="s">
        <v>29</v>
      </c>
      <c r="P367" s="158" t="s">
        <v>2017</v>
      </c>
    </row>
    <row r="368" spans="1:16" x14ac:dyDescent="0.25">
      <c r="A368" s="155" t="s">
        <v>2018</v>
      </c>
      <c r="B368" s="155" t="s">
        <v>1921</v>
      </c>
      <c r="C368" s="155" t="s">
        <v>1987</v>
      </c>
      <c r="D368" s="155" t="s">
        <v>1988</v>
      </c>
      <c r="E368" s="155" t="s">
        <v>1989</v>
      </c>
      <c r="F368" s="155" t="s">
        <v>1923</v>
      </c>
      <c r="G368" s="158" t="s">
        <v>2019</v>
      </c>
      <c r="H368" s="158" t="s">
        <v>2020</v>
      </c>
      <c r="I368" s="158" t="s">
        <v>2021</v>
      </c>
      <c r="J368" s="158" t="s">
        <v>2021</v>
      </c>
      <c r="K368" s="158" t="s">
        <v>71</v>
      </c>
      <c r="L368" s="158" t="s">
        <v>26</v>
      </c>
      <c r="M368" s="158" t="s">
        <v>72</v>
      </c>
      <c r="N368" s="158" t="s">
        <v>28</v>
      </c>
      <c r="O368" s="158" t="s">
        <v>29</v>
      </c>
      <c r="P368" s="158" t="s">
        <v>2022</v>
      </c>
    </row>
    <row r="369" spans="1:16" x14ac:dyDescent="0.25">
      <c r="A369" s="155" t="s">
        <v>2023</v>
      </c>
      <c r="B369" s="155" t="s">
        <v>1921</v>
      </c>
      <c r="C369" s="155" t="s">
        <v>1987</v>
      </c>
      <c r="D369" s="155" t="s">
        <v>1988</v>
      </c>
      <c r="E369" s="155" t="s">
        <v>1989</v>
      </c>
      <c r="F369" s="155" t="s">
        <v>1923</v>
      </c>
      <c r="G369" s="158" t="s">
        <v>2024</v>
      </c>
      <c r="H369" s="158" t="s">
        <v>2025</v>
      </c>
      <c r="I369" s="158" t="s">
        <v>2026</v>
      </c>
      <c r="J369" s="158" t="s">
        <v>2026</v>
      </c>
      <c r="K369" s="158" t="s">
        <v>71</v>
      </c>
      <c r="L369" s="158" t="s">
        <v>26</v>
      </c>
      <c r="M369" s="158" t="s">
        <v>72</v>
      </c>
      <c r="N369" s="158" t="s">
        <v>28</v>
      </c>
      <c r="O369" s="158" t="s">
        <v>29</v>
      </c>
      <c r="P369" s="158" t="s">
        <v>2027</v>
      </c>
    </row>
    <row r="370" spans="1:16" x14ac:dyDescent="0.25">
      <c r="A370" s="155" t="s">
        <v>2028</v>
      </c>
      <c r="B370" s="155" t="s">
        <v>1921</v>
      </c>
      <c r="C370" s="155" t="s">
        <v>1987</v>
      </c>
      <c r="D370" s="155" t="s">
        <v>1988</v>
      </c>
      <c r="E370" s="155" t="s">
        <v>1989</v>
      </c>
      <c r="F370" s="155" t="s">
        <v>1923</v>
      </c>
      <c r="G370" s="158" t="s">
        <v>2029</v>
      </c>
      <c r="H370" s="158" t="s">
        <v>2030</v>
      </c>
      <c r="I370" s="158" t="s">
        <v>2031</v>
      </c>
      <c r="J370" s="158" t="s">
        <v>2031</v>
      </c>
      <c r="K370" s="158" t="s">
        <v>71</v>
      </c>
      <c r="L370" s="158" t="s">
        <v>26</v>
      </c>
      <c r="M370" s="158" t="s">
        <v>72</v>
      </c>
      <c r="N370" s="158" t="s">
        <v>28</v>
      </c>
      <c r="O370" s="158" t="s">
        <v>29</v>
      </c>
      <c r="P370" s="158" t="s">
        <v>2032</v>
      </c>
    </row>
    <row r="371" spans="1:16" x14ac:dyDescent="0.25">
      <c r="A371" s="155" t="s">
        <v>2033</v>
      </c>
      <c r="B371" s="155" t="s">
        <v>1921</v>
      </c>
      <c r="C371" s="155" t="s">
        <v>1987</v>
      </c>
      <c r="D371" s="155" t="s">
        <v>1988</v>
      </c>
      <c r="E371" s="155" t="s">
        <v>1989</v>
      </c>
      <c r="F371" s="155" t="s">
        <v>1923</v>
      </c>
      <c r="G371" s="158" t="s">
        <v>2034</v>
      </c>
      <c r="H371" s="158" t="s">
        <v>2035</v>
      </c>
      <c r="I371" s="158" t="s">
        <v>2036</v>
      </c>
      <c r="J371" s="158" t="s">
        <v>2036</v>
      </c>
      <c r="K371" s="158" t="s">
        <v>71</v>
      </c>
      <c r="L371" s="158" t="s">
        <v>26</v>
      </c>
      <c r="M371" s="158" t="s">
        <v>72</v>
      </c>
      <c r="N371" s="158" t="s">
        <v>28</v>
      </c>
      <c r="O371" s="158" t="s">
        <v>29</v>
      </c>
      <c r="P371" s="158" t="s">
        <v>2037</v>
      </c>
    </row>
    <row r="372" spans="1:16" x14ac:dyDescent="0.25">
      <c r="A372" s="155" t="s">
        <v>2038</v>
      </c>
      <c r="B372" s="155" t="s">
        <v>1921</v>
      </c>
      <c r="C372" s="155" t="s">
        <v>2598</v>
      </c>
      <c r="D372" s="155" t="s">
        <v>1988</v>
      </c>
      <c r="E372" s="155" t="s">
        <v>2599</v>
      </c>
      <c r="F372" s="155" t="s">
        <v>1923</v>
      </c>
      <c r="G372" s="158" t="s">
        <v>2039</v>
      </c>
      <c r="H372" s="158" t="s">
        <v>2040</v>
      </c>
      <c r="I372" s="158" t="s">
        <v>2041</v>
      </c>
      <c r="J372" s="158" t="s">
        <v>2041</v>
      </c>
      <c r="K372" s="158" t="s">
        <v>71</v>
      </c>
      <c r="L372" s="158" t="s">
        <v>26</v>
      </c>
      <c r="M372" s="158" t="s">
        <v>72</v>
      </c>
      <c r="N372" s="158" t="s">
        <v>28</v>
      </c>
      <c r="O372" s="158" t="s">
        <v>29</v>
      </c>
      <c r="P372" s="158" t="s">
        <v>2042</v>
      </c>
    </row>
    <row r="373" spans="1:16" x14ac:dyDescent="0.25">
      <c r="A373" s="155" t="s">
        <v>2043</v>
      </c>
      <c r="B373" s="155" t="s">
        <v>1921</v>
      </c>
      <c r="C373" s="155" t="s">
        <v>2090</v>
      </c>
      <c r="D373" s="155" t="s">
        <v>1988</v>
      </c>
      <c r="E373" s="155" t="s">
        <v>1117</v>
      </c>
      <c r="F373" s="155" t="s">
        <v>1923</v>
      </c>
      <c r="G373" s="158" t="s">
        <v>2044</v>
      </c>
      <c r="H373" s="158" t="s">
        <v>2045</v>
      </c>
      <c r="I373" s="158" t="s">
        <v>2046</v>
      </c>
      <c r="J373" s="158" t="s">
        <v>2046</v>
      </c>
      <c r="K373" s="158" t="s">
        <v>71</v>
      </c>
      <c r="L373" s="158" t="s">
        <v>26</v>
      </c>
      <c r="M373" s="158" t="s">
        <v>72</v>
      </c>
      <c r="N373" s="158" t="s">
        <v>28</v>
      </c>
      <c r="O373" s="158" t="s">
        <v>29</v>
      </c>
      <c r="P373" s="158" t="s">
        <v>2047</v>
      </c>
    </row>
    <row r="374" spans="1:16" x14ac:dyDescent="0.25">
      <c r="A374" s="155" t="s">
        <v>2048</v>
      </c>
      <c r="B374" s="155" t="s">
        <v>1921</v>
      </c>
      <c r="C374" s="155" t="s">
        <v>2049</v>
      </c>
      <c r="D374" s="155" t="s">
        <v>2050</v>
      </c>
      <c r="E374" s="155" t="s">
        <v>1117</v>
      </c>
      <c r="F374" s="155" t="s">
        <v>1923</v>
      </c>
      <c r="G374" s="158" t="s">
        <v>2051</v>
      </c>
      <c r="H374" s="158" t="s">
        <v>2052</v>
      </c>
      <c r="I374" s="158" t="s">
        <v>2053</v>
      </c>
      <c r="J374" s="158" t="s">
        <v>2053</v>
      </c>
      <c r="K374" s="158" t="s">
        <v>861</v>
      </c>
      <c r="L374" s="158" t="s">
        <v>26</v>
      </c>
      <c r="M374" s="158" t="s">
        <v>862</v>
      </c>
      <c r="N374" s="158" t="s">
        <v>28</v>
      </c>
      <c r="O374" s="158" t="s">
        <v>29</v>
      </c>
      <c r="P374" s="158" t="s">
        <v>2054</v>
      </c>
    </row>
    <row r="375" spans="1:16" x14ac:dyDescent="0.25">
      <c r="A375" s="155" t="s">
        <v>2055</v>
      </c>
      <c r="B375" s="155" t="s">
        <v>1921</v>
      </c>
      <c r="C375" s="155" t="s">
        <v>2049</v>
      </c>
      <c r="D375" s="155" t="s">
        <v>2050</v>
      </c>
      <c r="E375" s="155" t="s">
        <v>1117</v>
      </c>
      <c r="F375" s="155" t="s">
        <v>1923</v>
      </c>
      <c r="G375" s="158" t="s">
        <v>2056</v>
      </c>
      <c r="H375" s="158" t="s">
        <v>2057</v>
      </c>
      <c r="I375" s="158" t="s">
        <v>2058</v>
      </c>
      <c r="J375" s="158" t="s">
        <v>2058</v>
      </c>
      <c r="K375" s="158" t="s">
        <v>867</v>
      </c>
      <c r="L375" s="158" t="s">
        <v>26</v>
      </c>
      <c r="M375" s="158" t="s">
        <v>868</v>
      </c>
      <c r="N375" s="158" t="s">
        <v>28</v>
      </c>
      <c r="O375" s="158" t="s">
        <v>29</v>
      </c>
      <c r="P375" s="158" t="s">
        <v>2059</v>
      </c>
    </row>
    <row r="376" spans="1:16" x14ac:dyDescent="0.25">
      <c r="A376" s="155" t="s">
        <v>2050</v>
      </c>
      <c r="B376" s="155" t="s">
        <v>1921</v>
      </c>
      <c r="C376" s="155" t="s">
        <v>2049</v>
      </c>
      <c r="D376" s="155" t="s">
        <v>2050</v>
      </c>
      <c r="E376" s="155" t="s">
        <v>1117</v>
      </c>
      <c r="F376" s="155" t="s">
        <v>1923</v>
      </c>
      <c r="G376" s="158" t="s">
        <v>2060</v>
      </c>
      <c r="H376" s="158" t="s">
        <v>2061</v>
      </c>
      <c r="I376" s="158" t="s">
        <v>2062</v>
      </c>
      <c r="J376" s="158" t="s">
        <v>2062</v>
      </c>
      <c r="K376" s="158" t="s">
        <v>867</v>
      </c>
      <c r="L376" s="158" t="s">
        <v>26</v>
      </c>
      <c r="M376" s="158" t="s">
        <v>868</v>
      </c>
      <c r="N376" s="158" t="s">
        <v>28</v>
      </c>
      <c r="O376" s="158" t="s">
        <v>29</v>
      </c>
      <c r="P376" s="158" t="s">
        <v>2063</v>
      </c>
    </row>
    <row r="377" spans="1:16" x14ac:dyDescent="0.25">
      <c r="A377" s="155" t="s">
        <v>2064</v>
      </c>
      <c r="B377" s="155" t="s">
        <v>1921</v>
      </c>
      <c r="C377" s="155" t="s">
        <v>2049</v>
      </c>
      <c r="D377" s="155" t="s">
        <v>2050</v>
      </c>
      <c r="E377" s="155" t="s">
        <v>1117</v>
      </c>
      <c r="F377" s="155" t="s">
        <v>1923</v>
      </c>
      <c r="G377" s="158" t="s">
        <v>2065</v>
      </c>
      <c r="H377" s="158" t="s">
        <v>2066</v>
      </c>
      <c r="I377" s="158" t="s">
        <v>2067</v>
      </c>
      <c r="J377" s="158" t="s">
        <v>2067</v>
      </c>
      <c r="K377" s="158" t="s">
        <v>874</v>
      </c>
      <c r="L377" s="158" t="s">
        <v>26</v>
      </c>
      <c r="M377" s="158" t="s">
        <v>875</v>
      </c>
      <c r="N377" s="158" t="s">
        <v>28</v>
      </c>
      <c r="O377" s="158" t="s">
        <v>29</v>
      </c>
      <c r="P377" s="158" t="s">
        <v>2068</v>
      </c>
    </row>
    <row r="378" spans="1:16" x14ac:dyDescent="0.25">
      <c r="A378" s="155" t="s">
        <v>2069</v>
      </c>
      <c r="B378" s="155" t="s">
        <v>1921</v>
      </c>
      <c r="C378" s="155" t="s">
        <v>2049</v>
      </c>
      <c r="D378" s="155" t="s">
        <v>2050</v>
      </c>
      <c r="E378" s="155" t="s">
        <v>1117</v>
      </c>
      <c r="F378" s="155" t="s">
        <v>1923</v>
      </c>
      <c r="G378" s="158" t="s">
        <v>2070</v>
      </c>
      <c r="H378" s="158" t="s">
        <v>2071</v>
      </c>
      <c r="I378" s="158" t="s">
        <v>2072</v>
      </c>
      <c r="J378" s="158" t="s">
        <v>2072</v>
      </c>
      <c r="K378" s="158" t="s">
        <v>156</v>
      </c>
      <c r="L378" s="158" t="s">
        <v>26</v>
      </c>
      <c r="M378" s="158" t="s">
        <v>157</v>
      </c>
      <c r="N378" s="158" t="s">
        <v>28</v>
      </c>
      <c r="O378" s="158" t="s">
        <v>29</v>
      </c>
      <c r="P378" s="158" t="s">
        <v>2073</v>
      </c>
    </row>
    <row r="379" spans="1:16" x14ac:dyDescent="0.25">
      <c r="A379" s="155" t="s">
        <v>2074</v>
      </c>
      <c r="B379" s="155" t="s">
        <v>1921</v>
      </c>
      <c r="C379" s="155" t="s">
        <v>2049</v>
      </c>
      <c r="D379" s="155" t="s">
        <v>2050</v>
      </c>
      <c r="E379" s="155" t="s">
        <v>1117</v>
      </c>
      <c r="F379" s="155" t="s">
        <v>1923</v>
      </c>
      <c r="G379" s="158" t="s">
        <v>2075</v>
      </c>
      <c r="H379" s="158" t="s">
        <v>2076</v>
      </c>
      <c r="I379" s="158" t="s">
        <v>2077</v>
      </c>
      <c r="J379" s="158" t="s">
        <v>2077</v>
      </c>
      <c r="K379" s="158" t="s">
        <v>37</v>
      </c>
      <c r="L379" s="158" t="s">
        <v>26</v>
      </c>
      <c r="M379" s="158" t="s">
        <v>38</v>
      </c>
      <c r="N379" s="158" t="s">
        <v>28</v>
      </c>
      <c r="O379" s="158" t="s">
        <v>39</v>
      </c>
      <c r="P379" s="158" t="s">
        <v>2078</v>
      </c>
    </row>
    <row r="380" spans="1:16" x14ac:dyDescent="0.25">
      <c r="A380" s="155" t="s">
        <v>2079</v>
      </c>
      <c r="B380" s="155" t="s">
        <v>1921</v>
      </c>
      <c r="C380" s="155" t="s">
        <v>2049</v>
      </c>
      <c r="D380" s="155" t="s">
        <v>2050</v>
      </c>
      <c r="E380" s="155" t="s">
        <v>1117</v>
      </c>
      <c r="F380" s="155" t="s">
        <v>1923</v>
      </c>
      <c r="G380" s="158" t="s">
        <v>2080</v>
      </c>
      <c r="H380" s="158" t="s">
        <v>2081</v>
      </c>
      <c r="I380" s="158" t="s">
        <v>2082</v>
      </c>
      <c r="J380" s="158" t="s">
        <v>2082</v>
      </c>
      <c r="K380" s="158" t="s">
        <v>37</v>
      </c>
      <c r="L380" s="158" t="s">
        <v>26</v>
      </c>
      <c r="M380" s="158" t="s">
        <v>38</v>
      </c>
      <c r="N380" s="158" t="s">
        <v>28</v>
      </c>
      <c r="O380" s="158" t="s">
        <v>39</v>
      </c>
      <c r="P380" s="158" t="s">
        <v>2083</v>
      </c>
    </row>
    <row r="381" spans="1:16" x14ac:dyDescent="0.25">
      <c r="A381" s="155" t="s">
        <v>2084</v>
      </c>
      <c r="B381" s="155" t="s">
        <v>1921</v>
      </c>
      <c r="C381" s="155" t="s">
        <v>2049</v>
      </c>
      <c r="D381" s="155" t="s">
        <v>2050</v>
      </c>
      <c r="E381" s="155" t="s">
        <v>1117</v>
      </c>
      <c r="F381" s="155" t="s">
        <v>1923</v>
      </c>
      <c r="G381" s="158" t="s">
        <v>2085</v>
      </c>
      <c r="H381" s="158" t="s">
        <v>2086</v>
      </c>
      <c r="I381" s="158" t="s">
        <v>2087</v>
      </c>
      <c r="J381" s="158" t="s">
        <v>2087</v>
      </c>
      <c r="K381" s="158" t="s">
        <v>83</v>
      </c>
      <c r="L381" s="158" t="s">
        <v>26</v>
      </c>
      <c r="M381" s="158" t="s">
        <v>84</v>
      </c>
      <c r="N381" s="158" t="s">
        <v>28</v>
      </c>
      <c r="O381" s="158" t="s">
        <v>29</v>
      </c>
      <c r="P381" s="158" t="s">
        <v>2088</v>
      </c>
    </row>
    <row r="382" spans="1:16" x14ac:dyDescent="0.25">
      <c r="A382" s="155" t="s">
        <v>2089</v>
      </c>
      <c r="B382" s="155" t="s">
        <v>1921</v>
      </c>
      <c r="C382" s="155" t="s">
        <v>2090</v>
      </c>
      <c r="D382" s="155" t="s">
        <v>2091</v>
      </c>
      <c r="E382" s="155" t="s">
        <v>1117</v>
      </c>
      <c r="F382" s="155" t="s">
        <v>1923</v>
      </c>
      <c r="G382" s="158" t="s">
        <v>2092</v>
      </c>
      <c r="H382" s="158" t="s">
        <v>2093</v>
      </c>
      <c r="I382" s="158" t="s">
        <v>2094</v>
      </c>
      <c r="J382" s="158" t="s">
        <v>2094</v>
      </c>
      <c r="K382" s="158" t="s">
        <v>59</v>
      </c>
      <c r="L382" s="158" t="s">
        <v>26</v>
      </c>
      <c r="M382" s="158" t="s">
        <v>60</v>
      </c>
      <c r="N382" s="158" t="s">
        <v>28</v>
      </c>
      <c r="O382" s="158" t="s">
        <v>29</v>
      </c>
      <c r="P382" s="158" t="s">
        <v>2095</v>
      </c>
    </row>
    <row r="383" spans="1:16" x14ac:dyDescent="0.25">
      <c r="A383" s="155" t="s">
        <v>2096</v>
      </c>
      <c r="B383" s="155" t="s">
        <v>1921</v>
      </c>
      <c r="C383" s="155" t="s">
        <v>2090</v>
      </c>
      <c r="D383" s="155" t="s">
        <v>2091</v>
      </c>
      <c r="E383" s="155" t="s">
        <v>1117</v>
      </c>
      <c r="F383" s="155" t="s">
        <v>1923</v>
      </c>
      <c r="G383" s="158" t="s">
        <v>2097</v>
      </c>
      <c r="H383" s="158" t="s">
        <v>2098</v>
      </c>
      <c r="I383" s="158" t="s">
        <v>2099</v>
      </c>
      <c r="J383" s="158" t="s">
        <v>2099</v>
      </c>
      <c r="K383" s="158" t="s">
        <v>45</v>
      </c>
      <c r="L383" s="158" t="s">
        <v>26</v>
      </c>
      <c r="M383" s="158" t="s">
        <v>46</v>
      </c>
      <c r="N383" s="158" t="s">
        <v>28</v>
      </c>
      <c r="O383" s="158" t="s">
        <v>29</v>
      </c>
      <c r="P383" s="158" t="s">
        <v>2100</v>
      </c>
    </row>
    <row r="384" spans="1:16" x14ac:dyDescent="0.25">
      <c r="A384" s="155" t="s">
        <v>2091</v>
      </c>
      <c r="B384" s="155" t="s">
        <v>1921</v>
      </c>
      <c r="C384" s="155" t="s">
        <v>2090</v>
      </c>
      <c r="D384" s="155" t="s">
        <v>2091</v>
      </c>
      <c r="E384" s="155" t="s">
        <v>1117</v>
      </c>
      <c r="F384" s="155" t="s">
        <v>1923</v>
      </c>
      <c r="G384" s="158" t="s">
        <v>2101</v>
      </c>
      <c r="H384" s="158" t="s">
        <v>2102</v>
      </c>
      <c r="I384" s="158" t="s">
        <v>2103</v>
      </c>
      <c r="J384" s="158" t="s">
        <v>2103</v>
      </c>
      <c r="K384" s="158" t="s">
        <v>71</v>
      </c>
      <c r="L384" s="158" t="s">
        <v>26</v>
      </c>
      <c r="M384" s="158" t="s">
        <v>72</v>
      </c>
      <c r="N384" s="158" t="s">
        <v>28</v>
      </c>
      <c r="O384" s="158" t="s">
        <v>29</v>
      </c>
      <c r="P384" s="158" t="s">
        <v>2104</v>
      </c>
    </row>
    <row r="385" spans="1:16" x14ac:dyDescent="0.25">
      <c r="A385" s="155" t="s">
        <v>2105</v>
      </c>
      <c r="B385" s="155" t="s">
        <v>1921</v>
      </c>
      <c r="C385" s="155" t="s">
        <v>2090</v>
      </c>
      <c r="D385" s="155" t="s">
        <v>2091</v>
      </c>
      <c r="E385" s="155" t="s">
        <v>1117</v>
      </c>
      <c r="F385" s="155" t="s">
        <v>1923</v>
      </c>
      <c r="G385" s="158" t="s">
        <v>2106</v>
      </c>
      <c r="H385" s="158" t="s">
        <v>2107</v>
      </c>
      <c r="I385" s="158" t="s">
        <v>2108</v>
      </c>
      <c r="J385" s="158" t="s">
        <v>2108</v>
      </c>
      <c r="K385" s="158" t="s">
        <v>71</v>
      </c>
      <c r="L385" s="158" t="s">
        <v>26</v>
      </c>
      <c r="M385" s="158" t="s">
        <v>72</v>
      </c>
      <c r="N385" s="158" t="s">
        <v>28</v>
      </c>
      <c r="O385" s="158" t="s">
        <v>29</v>
      </c>
      <c r="P385" s="158" t="s">
        <v>2109</v>
      </c>
    </row>
    <row r="386" spans="1:16" x14ac:dyDescent="0.25">
      <c r="A386" s="155" t="s">
        <v>2110</v>
      </c>
      <c r="B386" s="155" t="s">
        <v>1921</v>
      </c>
      <c r="C386" s="155" t="s">
        <v>2090</v>
      </c>
      <c r="D386" s="155" t="s">
        <v>2091</v>
      </c>
      <c r="E386" s="155" t="s">
        <v>1117</v>
      </c>
      <c r="F386" s="155" t="s">
        <v>1923</v>
      </c>
      <c r="G386" s="158" t="s">
        <v>2111</v>
      </c>
      <c r="H386" s="158" t="s">
        <v>2112</v>
      </c>
      <c r="I386" s="158" t="s">
        <v>2113</v>
      </c>
      <c r="J386" s="158" t="s">
        <v>2113</v>
      </c>
      <c r="K386" s="158" t="s">
        <v>71</v>
      </c>
      <c r="L386" s="158" t="s">
        <v>26</v>
      </c>
      <c r="M386" s="158" t="s">
        <v>72</v>
      </c>
      <c r="N386" s="158" t="s">
        <v>28</v>
      </c>
      <c r="O386" s="158" t="s">
        <v>29</v>
      </c>
      <c r="P386" s="158" t="s">
        <v>2114</v>
      </c>
    </row>
    <row r="387" spans="1:16" x14ac:dyDescent="0.25">
      <c r="A387" s="155" t="s">
        <v>2115</v>
      </c>
      <c r="B387" s="155" t="s">
        <v>1921</v>
      </c>
      <c r="C387" s="155" t="s">
        <v>2090</v>
      </c>
      <c r="D387" s="155" t="s">
        <v>2091</v>
      </c>
      <c r="E387" s="155" t="s">
        <v>1117</v>
      </c>
      <c r="F387" s="155" t="s">
        <v>1923</v>
      </c>
      <c r="G387" s="158" t="s">
        <v>2116</v>
      </c>
      <c r="H387" s="158" t="s">
        <v>2117</v>
      </c>
      <c r="I387" s="158" t="s">
        <v>2118</v>
      </c>
      <c r="J387" s="158" t="s">
        <v>2118</v>
      </c>
      <c r="K387" s="158" t="s">
        <v>71</v>
      </c>
      <c r="L387" s="158" t="s">
        <v>26</v>
      </c>
      <c r="M387" s="158" t="s">
        <v>72</v>
      </c>
      <c r="N387" s="158" t="s">
        <v>28</v>
      </c>
      <c r="O387" s="158" t="s">
        <v>29</v>
      </c>
      <c r="P387" s="158" t="s">
        <v>2119</v>
      </c>
    </row>
    <row r="388" spans="1:16" x14ac:dyDescent="0.25">
      <c r="A388" s="155" t="s">
        <v>2120</v>
      </c>
      <c r="B388" s="155" t="s">
        <v>1921</v>
      </c>
      <c r="C388" s="155" t="s">
        <v>2090</v>
      </c>
      <c r="D388" s="155" t="s">
        <v>2091</v>
      </c>
      <c r="E388" s="155" t="s">
        <v>1117</v>
      </c>
      <c r="F388" s="155" t="s">
        <v>1923</v>
      </c>
      <c r="G388" s="158" t="s">
        <v>2121</v>
      </c>
      <c r="H388" s="158" t="s">
        <v>2122</v>
      </c>
      <c r="I388" s="158" t="s">
        <v>2123</v>
      </c>
      <c r="J388" s="158" t="s">
        <v>2123</v>
      </c>
      <c r="K388" s="158" t="s">
        <v>71</v>
      </c>
      <c r="L388" s="158" t="s">
        <v>26</v>
      </c>
      <c r="M388" s="158" t="s">
        <v>72</v>
      </c>
      <c r="N388" s="158" t="s">
        <v>28</v>
      </c>
      <c r="O388" s="158" t="s">
        <v>29</v>
      </c>
      <c r="P388" s="158" t="s">
        <v>2124</v>
      </c>
    </row>
    <row r="389" spans="1:16" x14ac:dyDescent="0.25">
      <c r="A389" s="155" t="s">
        <v>2125</v>
      </c>
      <c r="B389" s="155" t="s">
        <v>1921</v>
      </c>
      <c r="C389" s="155" t="s">
        <v>2090</v>
      </c>
      <c r="D389" s="155" t="s">
        <v>2091</v>
      </c>
      <c r="E389" s="155" t="s">
        <v>1117</v>
      </c>
      <c r="F389" s="155" t="s">
        <v>1923</v>
      </c>
      <c r="G389" s="158" t="s">
        <v>2126</v>
      </c>
      <c r="H389" s="158" t="s">
        <v>2127</v>
      </c>
      <c r="I389" s="158" t="s">
        <v>2128</v>
      </c>
      <c r="J389" s="158" t="s">
        <v>2128</v>
      </c>
      <c r="K389" s="158" t="s">
        <v>71</v>
      </c>
      <c r="L389" s="158" t="s">
        <v>26</v>
      </c>
      <c r="M389" s="158" t="s">
        <v>72</v>
      </c>
      <c r="N389" s="158" t="s">
        <v>28</v>
      </c>
      <c r="O389" s="158" t="s">
        <v>29</v>
      </c>
      <c r="P389" s="158" t="s">
        <v>2129</v>
      </c>
    </row>
    <row r="390" spans="1:16" x14ac:dyDescent="0.25">
      <c r="A390" s="155" t="s">
        <v>2130</v>
      </c>
      <c r="B390" s="155" t="s">
        <v>1921</v>
      </c>
      <c r="C390" s="155" t="s">
        <v>2090</v>
      </c>
      <c r="D390" s="155" t="s">
        <v>2091</v>
      </c>
      <c r="E390" s="155" t="s">
        <v>1117</v>
      </c>
      <c r="F390" s="155" t="s">
        <v>1923</v>
      </c>
      <c r="G390" s="158" t="s">
        <v>2131</v>
      </c>
      <c r="H390" s="158" t="s">
        <v>2132</v>
      </c>
      <c r="I390" s="158" t="s">
        <v>2133</v>
      </c>
      <c r="J390" s="158" t="s">
        <v>2133</v>
      </c>
      <c r="K390" s="158" t="s">
        <v>71</v>
      </c>
      <c r="L390" s="158" t="s">
        <v>26</v>
      </c>
      <c r="M390" s="158" t="s">
        <v>72</v>
      </c>
      <c r="N390" s="158" t="s">
        <v>28</v>
      </c>
      <c r="O390" s="158" t="s">
        <v>29</v>
      </c>
      <c r="P390" s="158" t="s">
        <v>2134</v>
      </c>
    </row>
    <row r="391" spans="1:16" x14ac:dyDescent="0.25">
      <c r="A391" s="155" t="s">
        <v>2135</v>
      </c>
      <c r="B391" s="155" t="s">
        <v>1921</v>
      </c>
      <c r="C391" s="155" t="s">
        <v>2090</v>
      </c>
      <c r="D391" s="155" t="s">
        <v>2091</v>
      </c>
      <c r="E391" s="155" t="s">
        <v>1117</v>
      </c>
      <c r="F391" s="155" t="s">
        <v>1923</v>
      </c>
      <c r="G391" s="158" t="s">
        <v>2136</v>
      </c>
      <c r="H391" s="158" t="s">
        <v>2137</v>
      </c>
      <c r="I391" s="158" t="s">
        <v>2138</v>
      </c>
      <c r="J391" s="158" t="s">
        <v>2138</v>
      </c>
      <c r="K391" s="158" t="s">
        <v>71</v>
      </c>
      <c r="L391" s="158" t="s">
        <v>26</v>
      </c>
      <c r="M391" s="158" t="s">
        <v>72</v>
      </c>
      <c r="N391" s="158" t="s">
        <v>28</v>
      </c>
      <c r="O391" s="158" t="s">
        <v>29</v>
      </c>
      <c r="P391" s="158" t="s">
        <v>2139</v>
      </c>
    </row>
    <row r="392" spans="1:16" x14ac:dyDescent="0.25">
      <c r="A392" s="155" t="s">
        <v>2140</v>
      </c>
      <c r="B392" s="155" t="s">
        <v>1921</v>
      </c>
      <c r="C392" s="155" t="s">
        <v>2141</v>
      </c>
      <c r="D392" s="155" t="s">
        <v>2142</v>
      </c>
      <c r="E392" s="155" t="s">
        <v>1117</v>
      </c>
      <c r="F392" s="155" t="s">
        <v>1923</v>
      </c>
      <c r="G392" s="158" t="s">
        <v>2143</v>
      </c>
      <c r="H392" s="158" t="s">
        <v>2144</v>
      </c>
      <c r="I392" s="158" t="s">
        <v>2145</v>
      </c>
      <c r="J392" s="158" t="s">
        <v>2145</v>
      </c>
      <c r="K392" s="158" t="s">
        <v>71</v>
      </c>
      <c r="L392" s="158" t="s">
        <v>26</v>
      </c>
      <c r="M392" s="158" t="s">
        <v>72</v>
      </c>
      <c r="N392" s="158" t="s">
        <v>28</v>
      </c>
      <c r="O392" s="158" t="s">
        <v>29</v>
      </c>
      <c r="P392" s="158" t="s">
        <v>2146</v>
      </c>
    </row>
    <row r="393" spans="1:16" x14ac:dyDescent="0.25">
      <c r="A393" s="155" t="s">
        <v>2147</v>
      </c>
      <c r="B393" s="155" t="s">
        <v>1921</v>
      </c>
      <c r="C393" s="155" t="s">
        <v>2141</v>
      </c>
      <c r="D393" s="155" t="s">
        <v>2142</v>
      </c>
      <c r="E393" s="155" t="s">
        <v>1117</v>
      </c>
      <c r="F393" s="155" t="s">
        <v>1923</v>
      </c>
      <c r="G393" s="158" t="s">
        <v>2148</v>
      </c>
      <c r="H393" s="158" t="s">
        <v>2149</v>
      </c>
      <c r="I393" s="158" t="s">
        <v>2150</v>
      </c>
      <c r="J393" s="158" t="s">
        <v>2150</v>
      </c>
      <c r="K393" s="158" t="s">
        <v>71</v>
      </c>
      <c r="L393" s="158" t="s">
        <v>26</v>
      </c>
      <c r="M393" s="158" t="s">
        <v>72</v>
      </c>
      <c r="N393" s="158" t="s">
        <v>28</v>
      </c>
      <c r="O393" s="158" t="s">
        <v>29</v>
      </c>
      <c r="P393" s="158" t="s">
        <v>2151</v>
      </c>
    </row>
    <row r="394" spans="1:16" x14ac:dyDescent="0.25">
      <c r="A394" s="155" t="s">
        <v>2142</v>
      </c>
      <c r="B394" s="155" t="s">
        <v>1921</v>
      </c>
      <c r="C394" s="155" t="s">
        <v>2141</v>
      </c>
      <c r="D394" s="155" t="s">
        <v>2142</v>
      </c>
      <c r="E394" s="155" t="s">
        <v>1117</v>
      </c>
      <c r="F394" s="155" t="s">
        <v>1923</v>
      </c>
      <c r="G394" s="158" t="s">
        <v>2152</v>
      </c>
      <c r="H394" s="158" t="s">
        <v>2153</v>
      </c>
      <c r="I394" s="158" t="s">
        <v>2154</v>
      </c>
      <c r="J394" s="158" t="s">
        <v>2154</v>
      </c>
      <c r="K394" s="158" t="s">
        <v>71</v>
      </c>
      <c r="L394" s="158" t="s">
        <v>26</v>
      </c>
      <c r="M394" s="158" t="s">
        <v>72</v>
      </c>
      <c r="N394" s="158" t="s">
        <v>28</v>
      </c>
      <c r="O394" s="158" t="s">
        <v>29</v>
      </c>
      <c r="P394" s="158" t="s">
        <v>2155</v>
      </c>
    </row>
    <row r="395" spans="1:16" x14ac:dyDescent="0.25">
      <c r="A395" s="155" t="s">
        <v>2156</v>
      </c>
      <c r="B395" s="155" t="s">
        <v>1921</v>
      </c>
      <c r="C395" s="155" t="s">
        <v>2141</v>
      </c>
      <c r="D395" s="155" t="s">
        <v>2142</v>
      </c>
      <c r="E395" s="155" t="s">
        <v>1117</v>
      </c>
      <c r="F395" s="155" t="s">
        <v>1923</v>
      </c>
      <c r="G395" s="158" t="s">
        <v>2157</v>
      </c>
      <c r="H395" s="158" t="s">
        <v>2158</v>
      </c>
      <c r="I395" s="158" t="s">
        <v>2159</v>
      </c>
      <c r="J395" s="158" t="s">
        <v>2159</v>
      </c>
      <c r="K395" s="158" t="s">
        <v>71</v>
      </c>
      <c r="L395" s="158" t="s">
        <v>26</v>
      </c>
      <c r="M395" s="158" t="s">
        <v>72</v>
      </c>
      <c r="N395" s="158" t="s">
        <v>28</v>
      </c>
      <c r="O395" s="158" t="s">
        <v>29</v>
      </c>
      <c r="P395" s="158" t="s">
        <v>2160</v>
      </c>
    </row>
    <row r="396" spans="1:16" x14ac:dyDescent="0.25">
      <c r="A396" s="155" t="s">
        <v>2161</v>
      </c>
      <c r="B396" s="155" t="s">
        <v>1921</v>
      </c>
      <c r="C396" s="155" t="s">
        <v>2141</v>
      </c>
      <c r="D396" s="155" t="s">
        <v>2142</v>
      </c>
      <c r="E396" s="155" t="s">
        <v>1117</v>
      </c>
      <c r="F396" s="155" t="s">
        <v>1923</v>
      </c>
      <c r="G396" s="158" t="s">
        <v>2162</v>
      </c>
      <c r="H396" s="158" t="s">
        <v>2163</v>
      </c>
      <c r="I396" s="158" t="s">
        <v>2164</v>
      </c>
      <c r="J396" s="158" t="s">
        <v>2164</v>
      </c>
      <c r="K396" s="158" t="s">
        <v>71</v>
      </c>
      <c r="L396" s="158" t="s">
        <v>26</v>
      </c>
      <c r="M396" s="158" t="s">
        <v>72</v>
      </c>
      <c r="N396" s="158" t="s">
        <v>28</v>
      </c>
      <c r="O396" s="158" t="s">
        <v>29</v>
      </c>
      <c r="P396" s="158" t="s">
        <v>2165</v>
      </c>
    </row>
    <row r="397" spans="1:16" x14ac:dyDescent="0.25">
      <c r="A397" s="155" t="s">
        <v>2166</v>
      </c>
      <c r="B397" s="155" t="s">
        <v>1921</v>
      </c>
      <c r="C397" s="155" t="s">
        <v>2141</v>
      </c>
      <c r="D397" s="155" t="s">
        <v>2142</v>
      </c>
      <c r="E397" s="155" t="s">
        <v>1117</v>
      </c>
      <c r="F397" s="155" t="s">
        <v>1923</v>
      </c>
      <c r="G397" s="158" t="s">
        <v>2167</v>
      </c>
      <c r="H397" s="158" t="s">
        <v>2168</v>
      </c>
      <c r="I397" s="158" t="s">
        <v>2169</v>
      </c>
      <c r="J397" s="158" t="s">
        <v>2169</v>
      </c>
      <c r="K397" s="158" t="s">
        <v>71</v>
      </c>
      <c r="L397" s="158" t="s">
        <v>26</v>
      </c>
      <c r="M397" s="158" t="s">
        <v>72</v>
      </c>
      <c r="N397" s="158" t="s">
        <v>28</v>
      </c>
      <c r="O397" s="158" t="s">
        <v>29</v>
      </c>
      <c r="P397" s="158" t="s">
        <v>2170</v>
      </c>
    </row>
    <row r="398" spans="1:16" x14ac:dyDescent="0.25">
      <c r="A398" s="155" t="s">
        <v>2171</v>
      </c>
      <c r="B398" s="155" t="s">
        <v>1921</v>
      </c>
      <c r="C398" s="155" t="s">
        <v>2141</v>
      </c>
      <c r="D398" s="155" t="s">
        <v>2142</v>
      </c>
      <c r="E398" s="155" t="s">
        <v>1117</v>
      </c>
      <c r="F398" s="155" t="s">
        <v>1923</v>
      </c>
      <c r="G398" s="158" t="s">
        <v>2172</v>
      </c>
      <c r="H398" s="158" t="s">
        <v>2173</v>
      </c>
      <c r="I398" s="158" t="s">
        <v>2174</v>
      </c>
      <c r="J398" s="158" t="s">
        <v>2174</v>
      </c>
      <c r="K398" s="158" t="s">
        <v>71</v>
      </c>
      <c r="L398" s="158" t="s">
        <v>26</v>
      </c>
      <c r="M398" s="158" t="s">
        <v>72</v>
      </c>
      <c r="N398" s="158" t="s">
        <v>28</v>
      </c>
      <c r="O398" s="158" t="s">
        <v>29</v>
      </c>
      <c r="P398" s="158" t="s">
        <v>2175</v>
      </c>
    </row>
    <row r="399" spans="1:16" x14ac:dyDescent="0.25">
      <c r="A399" s="155" t="s">
        <v>2176</v>
      </c>
      <c r="B399" s="155" t="s">
        <v>1921</v>
      </c>
      <c r="C399" s="155" t="s">
        <v>2600</v>
      </c>
      <c r="D399" s="155" t="s">
        <v>2142</v>
      </c>
      <c r="E399" s="155" t="s">
        <v>2601</v>
      </c>
      <c r="F399" s="155" t="s">
        <v>1923</v>
      </c>
      <c r="G399" s="158" t="s">
        <v>2177</v>
      </c>
      <c r="H399" s="158" t="s">
        <v>2178</v>
      </c>
      <c r="I399" s="158" t="s">
        <v>2179</v>
      </c>
      <c r="J399" s="158" t="s">
        <v>2179</v>
      </c>
      <c r="K399" s="158" t="s">
        <v>71</v>
      </c>
      <c r="L399" s="158" t="s">
        <v>26</v>
      </c>
      <c r="M399" s="158" t="s">
        <v>72</v>
      </c>
      <c r="N399" s="158" t="s">
        <v>28</v>
      </c>
      <c r="O399" s="158" t="s">
        <v>29</v>
      </c>
      <c r="P399" s="158" t="s">
        <v>2180</v>
      </c>
    </row>
    <row r="400" spans="1:16" x14ac:dyDescent="0.25">
      <c r="A400" s="155" t="s">
        <v>2181</v>
      </c>
      <c r="B400" s="155" t="s">
        <v>1921</v>
      </c>
      <c r="C400" s="155" t="s">
        <v>2228</v>
      </c>
      <c r="D400" s="155" t="s">
        <v>2142</v>
      </c>
      <c r="E400" s="155" t="s">
        <v>1117</v>
      </c>
      <c r="F400" s="155" t="s">
        <v>1923</v>
      </c>
      <c r="G400" s="158" t="s">
        <v>2182</v>
      </c>
      <c r="H400" s="158" t="s">
        <v>2183</v>
      </c>
      <c r="I400" s="158" t="s">
        <v>2184</v>
      </c>
      <c r="J400" s="158" t="s">
        <v>2184</v>
      </c>
      <c r="K400" s="158" t="s">
        <v>71</v>
      </c>
      <c r="L400" s="158" t="s">
        <v>26</v>
      </c>
      <c r="M400" s="158" t="s">
        <v>72</v>
      </c>
      <c r="N400" s="158" t="s">
        <v>28</v>
      </c>
      <c r="O400" s="158" t="s">
        <v>29</v>
      </c>
      <c r="P400" s="158" t="s">
        <v>2185</v>
      </c>
    </row>
    <row r="401" spans="1:16" x14ac:dyDescent="0.25">
      <c r="A401" s="155" t="s">
        <v>2186</v>
      </c>
      <c r="B401" s="155" t="s">
        <v>1921</v>
      </c>
      <c r="C401" s="155" t="s">
        <v>2187</v>
      </c>
      <c r="D401" s="155" t="s">
        <v>2188</v>
      </c>
      <c r="E401" s="155" t="s">
        <v>1117</v>
      </c>
      <c r="F401" s="155" t="s">
        <v>1923</v>
      </c>
      <c r="G401" s="162" t="s">
        <v>2189</v>
      </c>
      <c r="H401" s="162" t="s">
        <v>2190</v>
      </c>
      <c r="I401" s="158" t="s">
        <v>2191</v>
      </c>
      <c r="J401" s="158" t="s">
        <v>2191</v>
      </c>
      <c r="K401" s="158" t="s">
        <v>861</v>
      </c>
      <c r="L401" s="158" t="s">
        <v>26</v>
      </c>
      <c r="M401" s="158" t="s">
        <v>862</v>
      </c>
      <c r="N401" s="158" t="s">
        <v>28</v>
      </c>
      <c r="O401" s="158" t="s">
        <v>29</v>
      </c>
      <c r="P401" s="158" t="s">
        <v>2192</v>
      </c>
    </row>
    <row r="402" spans="1:16" x14ac:dyDescent="0.25">
      <c r="A402" s="155" t="s">
        <v>2193</v>
      </c>
      <c r="B402" s="155" t="s">
        <v>1921</v>
      </c>
      <c r="C402" s="155" t="s">
        <v>2187</v>
      </c>
      <c r="D402" s="155" t="s">
        <v>2188</v>
      </c>
      <c r="E402" s="155" t="s">
        <v>1117</v>
      </c>
      <c r="F402" s="155" t="s">
        <v>1923</v>
      </c>
      <c r="G402" s="162" t="s">
        <v>2194</v>
      </c>
      <c r="H402" s="162" t="s">
        <v>2195</v>
      </c>
      <c r="I402" s="158" t="s">
        <v>2196</v>
      </c>
      <c r="J402" s="158" t="s">
        <v>2196</v>
      </c>
      <c r="K402" s="158" t="s">
        <v>867</v>
      </c>
      <c r="L402" s="158" t="s">
        <v>26</v>
      </c>
      <c r="M402" s="158" t="s">
        <v>868</v>
      </c>
      <c r="N402" s="158" t="s">
        <v>28</v>
      </c>
      <c r="O402" s="158" t="s">
        <v>29</v>
      </c>
      <c r="P402" s="158" t="s">
        <v>2197</v>
      </c>
    </row>
    <row r="403" spans="1:16" x14ac:dyDescent="0.25">
      <c r="A403" s="155" t="s">
        <v>2188</v>
      </c>
      <c r="B403" s="155" t="s">
        <v>1921</v>
      </c>
      <c r="C403" s="155" t="s">
        <v>2187</v>
      </c>
      <c r="D403" s="155" t="s">
        <v>2188</v>
      </c>
      <c r="E403" s="155" t="s">
        <v>1117</v>
      </c>
      <c r="F403" s="155" t="s">
        <v>1923</v>
      </c>
      <c r="G403" s="162" t="s">
        <v>2198</v>
      </c>
      <c r="H403" s="162" t="s">
        <v>2199</v>
      </c>
      <c r="I403" s="158" t="s">
        <v>2200</v>
      </c>
      <c r="J403" s="158" t="s">
        <v>2200</v>
      </c>
      <c r="K403" s="158" t="s">
        <v>867</v>
      </c>
      <c r="L403" s="158" t="s">
        <v>26</v>
      </c>
      <c r="M403" s="158" t="s">
        <v>868</v>
      </c>
      <c r="N403" s="158" t="s">
        <v>28</v>
      </c>
      <c r="O403" s="158" t="s">
        <v>29</v>
      </c>
      <c r="P403" s="158" t="s">
        <v>2201</v>
      </c>
    </row>
    <row r="404" spans="1:16" x14ac:dyDescent="0.25">
      <c r="A404" s="155" t="s">
        <v>2202</v>
      </c>
      <c r="B404" s="155" t="s">
        <v>1921</v>
      </c>
      <c r="C404" s="155" t="s">
        <v>2187</v>
      </c>
      <c r="D404" s="155" t="s">
        <v>2188</v>
      </c>
      <c r="E404" s="155" t="s">
        <v>1117</v>
      </c>
      <c r="F404" s="155" t="s">
        <v>1923</v>
      </c>
      <c r="G404" s="162" t="s">
        <v>2203</v>
      </c>
      <c r="H404" s="162" t="s">
        <v>2204</v>
      </c>
      <c r="I404" s="158" t="s">
        <v>2205</v>
      </c>
      <c r="J404" s="158" t="s">
        <v>2205</v>
      </c>
      <c r="K404" s="158" t="s">
        <v>874</v>
      </c>
      <c r="L404" s="158" t="s">
        <v>26</v>
      </c>
      <c r="M404" s="158" t="s">
        <v>875</v>
      </c>
      <c r="N404" s="158" t="s">
        <v>28</v>
      </c>
      <c r="O404" s="158" t="s">
        <v>29</v>
      </c>
      <c r="P404" s="158" t="s">
        <v>2206</v>
      </c>
    </row>
    <row r="405" spans="1:16" x14ac:dyDescent="0.25">
      <c r="A405" s="155" t="s">
        <v>2207</v>
      </c>
      <c r="B405" s="155" t="s">
        <v>1921</v>
      </c>
      <c r="C405" s="155" t="s">
        <v>2187</v>
      </c>
      <c r="D405" s="155" t="s">
        <v>2188</v>
      </c>
      <c r="E405" s="155" t="s">
        <v>1117</v>
      </c>
      <c r="F405" s="155" t="s">
        <v>1923</v>
      </c>
      <c r="G405" s="162" t="s">
        <v>2208</v>
      </c>
      <c r="H405" s="162" t="s">
        <v>2209</v>
      </c>
      <c r="I405" s="158" t="s">
        <v>2210</v>
      </c>
      <c r="J405" s="158" t="s">
        <v>2210</v>
      </c>
      <c r="K405" s="158" t="s">
        <v>156</v>
      </c>
      <c r="L405" s="158" t="s">
        <v>26</v>
      </c>
      <c r="M405" s="158" t="s">
        <v>157</v>
      </c>
      <c r="N405" s="158" t="s">
        <v>28</v>
      </c>
      <c r="O405" s="158" t="s">
        <v>29</v>
      </c>
      <c r="P405" s="158" t="s">
        <v>2211</v>
      </c>
    </row>
    <row r="406" spans="1:16" x14ac:dyDescent="0.25">
      <c r="A406" s="155" t="s">
        <v>2212</v>
      </c>
      <c r="B406" s="155" t="s">
        <v>1921</v>
      </c>
      <c r="C406" s="155" t="s">
        <v>2187</v>
      </c>
      <c r="D406" s="155" t="s">
        <v>2188</v>
      </c>
      <c r="E406" s="155" t="s">
        <v>1117</v>
      </c>
      <c r="F406" s="155" t="s">
        <v>1923</v>
      </c>
      <c r="G406" s="162" t="s">
        <v>2213</v>
      </c>
      <c r="H406" s="162" t="s">
        <v>2214</v>
      </c>
      <c r="I406" s="158" t="s">
        <v>2215</v>
      </c>
      <c r="J406" s="158" t="s">
        <v>2215</v>
      </c>
      <c r="K406" s="158" t="s">
        <v>37</v>
      </c>
      <c r="L406" s="158" t="s">
        <v>26</v>
      </c>
      <c r="M406" s="158" t="s">
        <v>38</v>
      </c>
      <c r="N406" s="158" t="s">
        <v>28</v>
      </c>
      <c r="O406" s="158" t="s">
        <v>39</v>
      </c>
      <c r="P406" s="158" t="s">
        <v>2216</v>
      </c>
    </row>
    <row r="407" spans="1:16" x14ac:dyDescent="0.25">
      <c r="A407" s="155" t="s">
        <v>2217</v>
      </c>
      <c r="B407" s="155" t="s">
        <v>1921</v>
      </c>
      <c r="C407" s="155" t="s">
        <v>2187</v>
      </c>
      <c r="D407" s="155" t="s">
        <v>2188</v>
      </c>
      <c r="E407" s="155" t="s">
        <v>1117</v>
      </c>
      <c r="F407" s="155" t="s">
        <v>1923</v>
      </c>
      <c r="G407" s="162" t="s">
        <v>2218</v>
      </c>
      <c r="H407" s="162" t="s">
        <v>2219</v>
      </c>
      <c r="I407" s="158" t="s">
        <v>2220</v>
      </c>
      <c r="J407" s="158" t="s">
        <v>2220</v>
      </c>
      <c r="K407" s="158" t="s">
        <v>37</v>
      </c>
      <c r="L407" s="158" t="s">
        <v>26</v>
      </c>
      <c r="M407" s="158" t="s">
        <v>38</v>
      </c>
      <c r="N407" s="158" t="s">
        <v>28</v>
      </c>
      <c r="O407" s="158" t="s">
        <v>39</v>
      </c>
      <c r="P407" s="158" t="s">
        <v>2221</v>
      </c>
    </row>
    <row r="408" spans="1:16" x14ac:dyDescent="0.25">
      <c r="A408" s="155" t="s">
        <v>2222</v>
      </c>
      <c r="B408" s="155" t="s">
        <v>1921</v>
      </c>
      <c r="C408" s="155" t="s">
        <v>2187</v>
      </c>
      <c r="D408" s="155" t="s">
        <v>2188</v>
      </c>
      <c r="E408" s="155" t="s">
        <v>1117</v>
      </c>
      <c r="F408" s="155" t="s">
        <v>1923</v>
      </c>
      <c r="G408" s="162" t="s">
        <v>2223</v>
      </c>
      <c r="H408" s="162" t="s">
        <v>2224</v>
      </c>
      <c r="I408" s="158" t="s">
        <v>2225</v>
      </c>
      <c r="J408" s="158" t="s">
        <v>2225</v>
      </c>
      <c r="K408" s="158" t="s">
        <v>83</v>
      </c>
      <c r="L408" s="158" t="s">
        <v>26</v>
      </c>
      <c r="M408" s="158" t="s">
        <v>84</v>
      </c>
      <c r="N408" s="158" t="s">
        <v>28</v>
      </c>
      <c r="O408" s="158" t="s">
        <v>29</v>
      </c>
      <c r="P408" s="158" t="s">
        <v>2226</v>
      </c>
    </row>
    <row r="409" spans="1:16" x14ac:dyDescent="0.25">
      <c r="A409" s="155" t="s">
        <v>2227</v>
      </c>
      <c r="B409" s="155" t="s">
        <v>1921</v>
      </c>
      <c r="C409" s="155" t="s">
        <v>2228</v>
      </c>
      <c r="D409" s="155" t="s">
        <v>2229</v>
      </c>
      <c r="E409" s="155" t="s">
        <v>1117</v>
      </c>
      <c r="F409" s="155" t="s">
        <v>1923</v>
      </c>
      <c r="G409" s="158" t="s">
        <v>2230</v>
      </c>
      <c r="H409" s="158" t="s">
        <v>2231</v>
      </c>
      <c r="I409" s="158" t="s">
        <v>2232</v>
      </c>
      <c r="J409" s="158" t="s">
        <v>2232</v>
      </c>
      <c r="K409" s="158" t="s">
        <v>59</v>
      </c>
      <c r="L409" s="158" t="s">
        <v>26</v>
      </c>
      <c r="M409" s="158" t="s">
        <v>60</v>
      </c>
      <c r="N409" s="158" t="s">
        <v>28</v>
      </c>
      <c r="O409" s="158" t="s">
        <v>29</v>
      </c>
      <c r="P409" s="158" t="s">
        <v>2233</v>
      </c>
    </row>
    <row r="410" spans="1:16" x14ac:dyDescent="0.25">
      <c r="A410" s="155" t="s">
        <v>2234</v>
      </c>
      <c r="B410" s="155" t="s">
        <v>1921</v>
      </c>
      <c r="C410" s="155" t="s">
        <v>2228</v>
      </c>
      <c r="D410" s="155" t="s">
        <v>2229</v>
      </c>
      <c r="E410" s="155" t="s">
        <v>1117</v>
      </c>
      <c r="F410" s="155" t="s">
        <v>1923</v>
      </c>
      <c r="G410" s="158" t="s">
        <v>2235</v>
      </c>
      <c r="H410" s="158" t="s">
        <v>2236</v>
      </c>
      <c r="I410" s="158" t="s">
        <v>2237</v>
      </c>
      <c r="J410" s="158" t="s">
        <v>2238</v>
      </c>
      <c r="K410" s="158" t="s">
        <v>45</v>
      </c>
      <c r="L410" s="158" t="s">
        <v>26</v>
      </c>
      <c r="M410" s="158" t="s">
        <v>46</v>
      </c>
      <c r="N410" s="158" t="s">
        <v>28</v>
      </c>
      <c r="O410" s="158" t="s">
        <v>29</v>
      </c>
      <c r="P410" s="158" t="s">
        <v>2239</v>
      </c>
    </row>
    <row r="411" spans="1:16" x14ac:dyDescent="0.25">
      <c r="A411" s="155" t="s">
        <v>2229</v>
      </c>
      <c r="B411" s="155" t="s">
        <v>1921</v>
      </c>
      <c r="C411" s="155" t="s">
        <v>2228</v>
      </c>
      <c r="D411" s="155" t="s">
        <v>2229</v>
      </c>
      <c r="E411" s="155" t="s">
        <v>1117</v>
      </c>
      <c r="F411" s="155" t="s">
        <v>1923</v>
      </c>
      <c r="G411" s="158" t="s">
        <v>2240</v>
      </c>
      <c r="H411" s="158" t="s">
        <v>2241</v>
      </c>
      <c r="I411" s="158" t="s">
        <v>2242</v>
      </c>
      <c r="J411" s="158" t="s">
        <v>2242</v>
      </c>
      <c r="K411" s="158" t="s">
        <v>71</v>
      </c>
      <c r="L411" s="158" t="s">
        <v>26</v>
      </c>
      <c r="M411" s="158" t="s">
        <v>72</v>
      </c>
      <c r="N411" s="158" t="s">
        <v>28</v>
      </c>
      <c r="O411" s="158" t="s">
        <v>29</v>
      </c>
      <c r="P411" s="158" t="s">
        <v>2243</v>
      </c>
    </row>
    <row r="412" spans="1:16" x14ac:dyDescent="0.25">
      <c r="A412" s="155" t="s">
        <v>2244</v>
      </c>
      <c r="B412" s="155" t="s">
        <v>1921</v>
      </c>
      <c r="C412" s="155" t="s">
        <v>2228</v>
      </c>
      <c r="D412" s="155" t="s">
        <v>2229</v>
      </c>
      <c r="E412" s="155" t="s">
        <v>1117</v>
      </c>
      <c r="F412" s="155" t="s">
        <v>1923</v>
      </c>
      <c r="G412" s="158" t="s">
        <v>2245</v>
      </c>
      <c r="H412" s="158" t="s">
        <v>2246</v>
      </c>
      <c r="I412" s="158" t="s">
        <v>2247</v>
      </c>
      <c r="J412" s="158" t="s">
        <v>2247</v>
      </c>
      <c r="K412" s="158" t="s">
        <v>71</v>
      </c>
      <c r="L412" s="158" t="s">
        <v>26</v>
      </c>
      <c r="M412" s="158" t="s">
        <v>72</v>
      </c>
      <c r="N412" s="158" t="s">
        <v>28</v>
      </c>
      <c r="O412" s="158" t="s">
        <v>29</v>
      </c>
      <c r="P412" s="158" t="s">
        <v>2248</v>
      </c>
    </row>
    <row r="413" spans="1:16" x14ac:dyDescent="0.25">
      <c r="A413" s="155" t="s">
        <v>2249</v>
      </c>
      <c r="B413" s="155" t="s">
        <v>1921</v>
      </c>
      <c r="C413" s="155" t="s">
        <v>2228</v>
      </c>
      <c r="D413" s="155" t="s">
        <v>2229</v>
      </c>
      <c r="E413" s="155" t="s">
        <v>1117</v>
      </c>
      <c r="F413" s="155" t="s">
        <v>1923</v>
      </c>
      <c r="G413" s="158" t="s">
        <v>2250</v>
      </c>
      <c r="H413" s="158" t="s">
        <v>2251</v>
      </c>
      <c r="I413" s="158" t="s">
        <v>2252</v>
      </c>
      <c r="J413" s="158" t="s">
        <v>2252</v>
      </c>
      <c r="K413" s="158" t="s">
        <v>71</v>
      </c>
      <c r="L413" s="158" t="s">
        <v>26</v>
      </c>
      <c r="M413" s="158" t="s">
        <v>72</v>
      </c>
      <c r="N413" s="158" t="s">
        <v>28</v>
      </c>
      <c r="O413" s="158" t="s">
        <v>29</v>
      </c>
      <c r="P413" s="158" t="s">
        <v>2253</v>
      </c>
    </row>
    <row r="414" spans="1:16" x14ac:dyDescent="0.25">
      <c r="A414" s="155" t="s">
        <v>2254</v>
      </c>
      <c r="B414" s="155" t="s">
        <v>1921</v>
      </c>
      <c r="C414" s="155" t="s">
        <v>2228</v>
      </c>
      <c r="D414" s="155" t="s">
        <v>2229</v>
      </c>
      <c r="E414" s="155" t="s">
        <v>1117</v>
      </c>
      <c r="F414" s="155" t="s">
        <v>1923</v>
      </c>
      <c r="G414" s="158" t="s">
        <v>2255</v>
      </c>
      <c r="H414" s="158" t="s">
        <v>2256</v>
      </c>
      <c r="I414" s="158" t="s">
        <v>2257</v>
      </c>
      <c r="J414" s="158" t="s">
        <v>2257</v>
      </c>
      <c r="K414" s="158" t="s">
        <v>37</v>
      </c>
      <c r="L414" s="158" t="s">
        <v>26</v>
      </c>
      <c r="M414" s="158" t="s">
        <v>38</v>
      </c>
      <c r="N414" s="158" t="s">
        <v>28</v>
      </c>
      <c r="O414" s="158" t="s">
        <v>39</v>
      </c>
      <c r="P414" s="158" t="s">
        <v>2258</v>
      </c>
    </row>
    <row r="415" spans="1:16" x14ac:dyDescent="0.25">
      <c r="A415" s="155" t="s">
        <v>2259</v>
      </c>
      <c r="B415" s="155" t="s">
        <v>1921</v>
      </c>
      <c r="C415" s="155" t="s">
        <v>2260</v>
      </c>
      <c r="D415" s="155" t="s">
        <v>2261</v>
      </c>
      <c r="E415" s="155" t="s">
        <v>1117</v>
      </c>
      <c r="F415" s="155" t="s">
        <v>1923</v>
      </c>
      <c r="G415" s="158" t="s">
        <v>2262</v>
      </c>
      <c r="H415" s="158" t="s">
        <v>2263</v>
      </c>
      <c r="I415" s="158" t="s">
        <v>2264</v>
      </c>
      <c r="J415" s="158" t="s">
        <v>2264</v>
      </c>
      <c r="K415" s="158" t="s">
        <v>874</v>
      </c>
      <c r="L415" s="158" t="s">
        <v>26</v>
      </c>
      <c r="M415" s="158" t="s">
        <v>875</v>
      </c>
      <c r="N415" s="158" t="s">
        <v>28</v>
      </c>
      <c r="O415" s="158" t="s">
        <v>29</v>
      </c>
      <c r="P415" s="158" t="s">
        <v>2265</v>
      </c>
    </row>
    <row r="416" spans="1:16" x14ac:dyDescent="0.25">
      <c r="A416" s="155" t="s">
        <v>2261</v>
      </c>
      <c r="B416" s="155" t="s">
        <v>1921</v>
      </c>
      <c r="C416" s="155" t="s">
        <v>2260</v>
      </c>
      <c r="D416" s="155" t="s">
        <v>2261</v>
      </c>
      <c r="E416" s="155" t="s">
        <v>1117</v>
      </c>
      <c r="F416" s="155" t="s">
        <v>1923</v>
      </c>
      <c r="G416" s="158" t="s">
        <v>2266</v>
      </c>
      <c r="H416" s="158" t="s">
        <v>2267</v>
      </c>
      <c r="I416" s="158" t="s">
        <v>2268</v>
      </c>
      <c r="J416" s="158" t="s">
        <v>2268</v>
      </c>
      <c r="K416" s="158" t="s">
        <v>1775</v>
      </c>
      <c r="L416" s="158" t="s">
        <v>26</v>
      </c>
      <c r="M416" s="158" t="s">
        <v>1776</v>
      </c>
      <c r="N416" s="158" t="s">
        <v>28</v>
      </c>
      <c r="O416" s="158" t="s">
        <v>29</v>
      </c>
      <c r="P416" s="158" t="s">
        <v>2269</v>
      </c>
    </row>
    <row r="417" spans="1:16" x14ac:dyDescent="0.25">
      <c r="A417" s="155" t="s">
        <v>2270</v>
      </c>
      <c r="B417" s="155" t="s">
        <v>1921</v>
      </c>
      <c r="C417" s="155" t="s">
        <v>2260</v>
      </c>
      <c r="D417" s="155" t="s">
        <v>2261</v>
      </c>
      <c r="E417" s="155" t="s">
        <v>1117</v>
      </c>
      <c r="F417" s="155" t="s">
        <v>1923</v>
      </c>
      <c r="G417" s="158" t="s">
        <v>2271</v>
      </c>
      <c r="H417" s="158" t="s">
        <v>2272</v>
      </c>
      <c r="I417" s="158" t="s">
        <v>2273</v>
      </c>
      <c r="J417" s="158" t="s">
        <v>2273</v>
      </c>
      <c r="K417" s="158" t="s">
        <v>1775</v>
      </c>
      <c r="L417" s="158" t="s">
        <v>26</v>
      </c>
      <c r="M417" s="158" t="s">
        <v>1776</v>
      </c>
      <c r="N417" s="158" t="s">
        <v>28</v>
      </c>
      <c r="O417" s="158" t="s">
        <v>29</v>
      </c>
      <c r="P417" s="158" t="s">
        <v>2274</v>
      </c>
    </row>
    <row r="418" spans="1:16" x14ac:dyDescent="0.25">
      <c r="A418" s="155" t="s">
        <v>2275</v>
      </c>
      <c r="B418" s="155" t="s">
        <v>1921</v>
      </c>
      <c r="C418" s="155" t="s">
        <v>2260</v>
      </c>
      <c r="D418" s="155" t="s">
        <v>2261</v>
      </c>
      <c r="E418" s="155" t="s">
        <v>1117</v>
      </c>
      <c r="F418" s="155" t="s">
        <v>1923</v>
      </c>
      <c r="G418" s="158" t="s">
        <v>2276</v>
      </c>
      <c r="H418" s="158" t="s">
        <v>2277</v>
      </c>
      <c r="I418" s="158" t="s">
        <v>2278</v>
      </c>
      <c r="J418" s="158" t="s">
        <v>2278</v>
      </c>
      <c r="K418" s="158" t="s">
        <v>1775</v>
      </c>
      <c r="L418" s="158" t="s">
        <v>26</v>
      </c>
      <c r="M418" s="158" t="s">
        <v>1776</v>
      </c>
      <c r="N418" s="158" t="s">
        <v>28</v>
      </c>
      <c r="O418" s="158" t="s">
        <v>29</v>
      </c>
      <c r="P418" s="158" t="s">
        <v>2279</v>
      </c>
    </row>
    <row r="419" spans="1:16" x14ac:dyDescent="0.25">
      <c r="A419" s="155" t="s">
        <v>2280</v>
      </c>
      <c r="B419" s="155" t="s">
        <v>1921</v>
      </c>
      <c r="C419" s="155" t="s">
        <v>2260</v>
      </c>
      <c r="D419" s="155" t="s">
        <v>2261</v>
      </c>
      <c r="E419" s="155" t="s">
        <v>1117</v>
      </c>
      <c r="F419" s="155" t="s">
        <v>1923</v>
      </c>
      <c r="G419" s="158" t="s">
        <v>2281</v>
      </c>
      <c r="H419" s="158" t="s">
        <v>2282</v>
      </c>
      <c r="I419" s="158" t="s">
        <v>2283</v>
      </c>
      <c r="J419" s="158" t="s">
        <v>2283</v>
      </c>
      <c r="K419" s="158" t="s">
        <v>861</v>
      </c>
      <c r="L419" s="158" t="s">
        <v>26</v>
      </c>
      <c r="M419" s="158" t="s">
        <v>862</v>
      </c>
      <c r="N419" s="158" t="s">
        <v>28</v>
      </c>
      <c r="O419" s="158" t="s">
        <v>29</v>
      </c>
      <c r="P419" s="158" t="s">
        <v>2284</v>
      </c>
    </row>
    <row r="420" spans="1:16" x14ac:dyDescent="0.25">
      <c r="A420" s="155" t="s">
        <v>2285</v>
      </c>
      <c r="B420" s="155" t="s">
        <v>1921</v>
      </c>
      <c r="C420" s="155" t="s">
        <v>2260</v>
      </c>
      <c r="D420" s="155" t="s">
        <v>2261</v>
      </c>
      <c r="E420" s="155" t="s">
        <v>1117</v>
      </c>
      <c r="F420" s="155" t="s">
        <v>1923</v>
      </c>
      <c r="G420" s="158" t="s">
        <v>2286</v>
      </c>
      <c r="H420" s="158" t="s">
        <v>2287</v>
      </c>
      <c r="I420" s="158" t="s">
        <v>2288</v>
      </c>
      <c r="J420" s="158" t="s">
        <v>2288</v>
      </c>
      <c r="K420" s="158" t="s">
        <v>71</v>
      </c>
      <c r="L420" s="158" t="s">
        <v>26</v>
      </c>
      <c r="M420" s="158" t="s">
        <v>72</v>
      </c>
      <c r="N420" s="158" t="s">
        <v>28</v>
      </c>
      <c r="O420" s="158" t="s">
        <v>29</v>
      </c>
      <c r="P420" s="158" t="s">
        <v>2289</v>
      </c>
    </row>
    <row r="421" spans="1:16" x14ac:dyDescent="0.25">
      <c r="A421" s="155" t="s">
        <v>2290</v>
      </c>
      <c r="B421" s="155" t="s">
        <v>1921</v>
      </c>
      <c r="C421" s="155" t="s">
        <v>2291</v>
      </c>
      <c r="D421" s="155" t="s">
        <v>2285</v>
      </c>
      <c r="E421" s="155" t="s">
        <v>1117</v>
      </c>
      <c r="F421" s="155" t="s">
        <v>1923</v>
      </c>
      <c r="G421" s="158" t="s">
        <v>2292</v>
      </c>
      <c r="H421" s="158" t="s">
        <v>2293</v>
      </c>
      <c r="I421" s="158" t="s">
        <v>2294</v>
      </c>
      <c r="J421" s="158" t="s">
        <v>2294</v>
      </c>
      <c r="K421" s="158" t="s">
        <v>358</v>
      </c>
      <c r="L421" s="158" t="s">
        <v>26</v>
      </c>
      <c r="M421" s="158" t="s">
        <v>359</v>
      </c>
      <c r="N421" s="158" t="s">
        <v>28</v>
      </c>
      <c r="O421" s="158" t="s">
        <v>39</v>
      </c>
      <c r="P421" s="158" t="s">
        <v>2295</v>
      </c>
    </row>
    <row r="422" spans="1:16" x14ac:dyDescent="0.25">
      <c r="A422" s="155" t="s">
        <v>2296</v>
      </c>
      <c r="B422" s="155" t="s">
        <v>1921</v>
      </c>
      <c r="C422" s="155" t="s">
        <v>2297</v>
      </c>
      <c r="D422" s="155" t="s">
        <v>2296</v>
      </c>
      <c r="E422" s="155" t="s">
        <v>1117</v>
      </c>
      <c r="F422" s="155" t="s">
        <v>1923</v>
      </c>
      <c r="G422" s="158" t="s">
        <v>2298</v>
      </c>
      <c r="H422" s="158" t="s">
        <v>2299</v>
      </c>
      <c r="I422" s="158" t="s">
        <v>2300</v>
      </c>
      <c r="J422" s="158" t="s">
        <v>2300</v>
      </c>
      <c r="K422" s="158" t="s">
        <v>372</v>
      </c>
      <c r="L422" s="158" t="s">
        <v>373</v>
      </c>
      <c r="M422" s="158" t="s">
        <v>374</v>
      </c>
      <c r="N422" s="158" t="s">
        <v>28</v>
      </c>
      <c r="O422" s="158" t="s">
        <v>375</v>
      </c>
      <c r="P422" s="158" t="s">
        <v>2301</v>
      </c>
    </row>
    <row r="423" spans="1:16" x14ac:dyDescent="0.25">
      <c r="A423" s="155" t="s">
        <v>2302</v>
      </c>
      <c r="B423" s="155" t="s">
        <v>1921</v>
      </c>
      <c r="C423" s="155" t="s">
        <v>2303</v>
      </c>
      <c r="D423" s="155" t="s">
        <v>2296</v>
      </c>
      <c r="E423" s="155" t="s">
        <v>1117</v>
      </c>
      <c r="F423" s="155" t="s">
        <v>1923</v>
      </c>
      <c r="G423" s="158" t="s">
        <v>2304</v>
      </c>
      <c r="H423" s="158" t="s">
        <v>2305</v>
      </c>
      <c r="I423" s="158" t="s">
        <v>2306</v>
      </c>
      <c r="J423" s="158" t="s">
        <v>2306</v>
      </c>
      <c r="K423" s="158" t="s">
        <v>220</v>
      </c>
      <c r="L423" s="158" t="s">
        <v>26</v>
      </c>
      <c r="M423" s="158" t="s">
        <v>221</v>
      </c>
      <c r="N423" s="158" t="s">
        <v>28</v>
      </c>
      <c r="O423" s="158" t="s">
        <v>222</v>
      </c>
      <c r="P423" s="158" t="s">
        <v>2307</v>
      </c>
    </row>
    <row r="424" spans="1:16" x14ac:dyDescent="0.25">
      <c r="A424" s="155" t="s">
        <v>2308</v>
      </c>
      <c r="B424" s="155" t="s">
        <v>1921</v>
      </c>
      <c r="C424" s="155" t="s">
        <v>2309</v>
      </c>
      <c r="D424" s="155" t="s">
        <v>2310</v>
      </c>
      <c r="E424" s="155" t="s">
        <v>1117</v>
      </c>
      <c r="F424" s="155" t="s">
        <v>1923</v>
      </c>
      <c r="G424" s="158" t="s">
        <v>2311</v>
      </c>
      <c r="H424" s="158" t="s">
        <v>2312</v>
      </c>
      <c r="I424" s="158" t="s">
        <v>2313</v>
      </c>
      <c r="J424" s="158" t="s">
        <v>2313</v>
      </c>
      <c r="K424" s="158" t="s">
        <v>383</v>
      </c>
      <c r="L424" s="158" t="s">
        <v>26</v>
      </c>
      <c r="M424" s="158" t="s">
        <v>384</v>
      </c>
      <c r="N424" s="158" t="s">
        <v>385</v>
      </c>
      <c r="O424" s="158" t="s">
        <v>386</v>
      </c>
      <c r="P424" s="158" t="s">
        <v>2314</v>
      </c>
    </row>
    <row r="425" spans="1:16" x14ac:dyDescent="0.25">
      <c r="A425" s="155" t="s">
        <v>2315</v>
      </c>
      <c r="B425" s="155" t="s">
        <v>1921</v>
      </c>
      <c r="C425" s="155" t="s">
        <v>2316</v>
      </c>
      <c r="D425" s="155" t="s">
        <v>2315</v>
      </c>
      <c r="E425" s="155" t="s">
        <v>1117</v>
      </c>
      <c r="F425" s="155" t="s">
        <v>1923</v>
      </c>
      <c r="G425" s="158" t="s">
        <v>2317</v>
      </c>
      <c r="H425" s="158" t="s">
        <v>2318</v>
      </c>
      <c r="I425" s="158" t="s">
        <v>2319</v>
      </c>
      <c r="J425" s="158" t="s">
        <v>2319</v>
      </c>
      <c r="K425" s="158" t="s">
        <v>220</v>
      </c>
      <c r="L425" s="158" t="s">
        <v>26</v>
      </c>
      <c r="M425" s="158" t="s">
        <v>221</v>
      </c>
      <c r="N425" s="158" t="s">
        <v>28</v>
      </c>
      <c r="O425" s="158" t="s">
        <v>222</v>
      </c>
      <c r="P425" s="158" t="s">
        <v>2320</v>
      </c>
    </row>
    <row r="426" spans="1:16" x14ac:dyDescent="0.25">
      <c r="A426" s="155" t="s">
        <v>2321</v>
      </c>
      <c r="B426" s="155" t="s">
        <v>1921</v>
      </c>
      <c r="C426" s="155" t="s">
        <v>2322</v>
      </c>
      <c r="D426" s="155" t="s">
        <v>2321</v>
      </c>
      <c r="E426" s="155" t="s">
        <v>1117</v>
      </c>
      <c r="F426" s="155" t="s">
        <v>1923</v>
      </c>
      <c r="G426" s="158" t="s">
        <v>2323</v>
      </c>
      <c r="H426" s="158" t="s">
        <v>2324</v>
      </c>
      <c r="I426" s="158" t="s">
        <v>2325</v>
      </c>
      <c r="J426" s="158" t="s">
        <v>2325</v>
      </c>
      <c r="K426" s="158" t="s">
        <v>220</v>
      </c>
      <c r="L426" s="158" t="s">
        <v>26</v>
      </c>
      <c r="M426" s="158" t="s">
        <v>221</v>
      </c>
      <c r="N426" s="158" t="s">
        <v>28</v>
      </c>
      <c r="O426" s="158" t="s">
        <v>222</v>
      </c>
      <c r="P426" s="158" t="s">
        <v>2326</v>
      </c>
    </row>
    <row r="427" spans="1:16" x14ac:dyDescent="0.25">
      <c r="A427" s="155" t="s">
        <v>2327</v>
      </c>
      <c r="B427" s="155" t="s">
        <v>1921</v>
      </c>
      <c r="C427" s="155" t="s">
        <v>2328</v>
      </c>
      <c r="D427" s="155" t="s">
        <v>2327</v>
      </c>
      <c r="E427" s="155" t="s">
        <v>1117</v>
      </c>
      <c r="F427" s="155" t="s">
        <v>1923</v>
      </c>
      <c r="G427" s="158" t="s">
        <v>2329</v>
      </c>
      <c r="H427" s="158" t="s">
        <v>2330</v>
      </c>
      <c r="I427" s="158" t="s">
        <v>2331</v>
      </c>
      <c r="J427" s="158" t="s">
        <v>2331</v>
      </c>
      <c r="K427" s="158" t="s">
        <v>220</v>
      </c>
      <c r="L427" s="158" t="s">
        <v>26</v>
      </c>
      <c r="M427" s="158" t="s">
        <v>221</v>
      </c>
      <c r="N427" s="158" t="s">
        <v>28</v>
      </c>
      <c r="O427" s="158" t="s">
        <v>222</v>
      </c>
      <c r="P427" s="158" t="s">
        <v>2332</v>
      </c>
    </row>
    <row r="428" spans="1:16" x14ac:dyDescent="0.25">
      <c r="A428" s="155" t="s">
        <v>2333</v>
      </c>
      <c r="B428" s="155" t="s">
        <v>1921</v>
      </c>
      <c r="C428" s="155" t="s">
        <v>2334</v>
      </c>
      <c r="D428" s="155" t="s">
        <v>2333</v>
      </c>
      <c r="E428" s="155" t="s">
        <v>1117</v>
      </c>
      <c r="F428" s="155" t="s">
        <v>1923</v>
      </c>
      <c r="G428" s="158" t="s">
        <v>2335</v>
      </c>
      <c r="H428" s="158" t="s">
        <v>2336</v>
      </c>
      <c r="I428" s="158" t="s">
        <v>2337</v>
      </c>
      <c r="J428" s="158" t="s">
        <v>2337</v>
      </c>
      <c r="K428" s="158" t="s">
        <v>220</v>
      </c>
      <c r="L428" s="158" t="s">
        <v>26</v>
      </c>
      <c r="M428" s="158" t="s">
        <v>221</v>
      </c>
      <c r="N428" s="158" t="s">
        <v>28</v>
      </c>
      <c r="O428" s="158" t="s">
        <v>222</v>
      </c>
      <c r="P428" s="158" t="s">
        <v>2338</v>
      </c>
    </row>
    <row r="429" spans="1:16" x14ac:dyDescent="0.25">
      <c r="A429" s="155" t="s">
        <v>2339</v>
      </c>
      <c r="B429" s="155" t="s">
        <v>1921</v>
      </c>
      <c r="C429" s="155" t="s">
        <v>2340</v>
      </c>
      <c r="D429" s="155" t="s">
        <v>2339</v>
      </c>
      <c r="E429" s="155" t="s">
        <v>1117</v>
      </c>
      <c r="F429" s="155" t="s">
        <v>1923</v>
      </c>
      <c r="G429" s="158" t="s">
        <v>2341</v>
      </c>
      <c r="H429" s="158" t="s">
        <v>2342</v>
      </c>
      <c r="I429" s="158" t="s">
        <v>2343</v>
      </c>
      <c r="J429" s="158" t="s">
        <v>2343</v>
      </c>
      <c r="K429" s="158" t="s">
        <v>25</v>
      </c>
      <c r="L429" s="158" t="s">
        <v>26</v>
      </c>
      <c r="M429" s="158" t="s">
        <v>27</v>
      </c>
      <c r="N429" s="158" t="s">
        <v>28</v>
      </c>
      <c r="O429" s="158" t="s">
        <v>29</v>
      </c>
      <c r="P429" s="158" t="s">
        <v>2344</v>
      </c>
    </row>
    <row r="430" spans="1:16" x14ac:dyDescent="0.25">
      <c r="A430" s="155" t="s">
        <v>2345</v>
      </c>
      <c r="B430" s="155" t="s">
        <v>1921</v>
      </c>
      <c r="C430" s="155" t="s">
        <v>2346</v>
      </c>
      <c r="D430" s="155" t="s">
        <v>2345</v>
      </c>
      <c r="E430" s="155" t="s">
        <v>1117</v>
      </c>
      <c r="F430" s="155" t="s">
        <v>1923</v>
      </c>
      <c r="G430" s="158" t="s">
        <v>2347</v>
      </c>
      <c r="H430" s="158" t="s">
        <v>2348</v>
      </c>
      <c r="I430" s="158" t="s">
        <v>2349</v>
      </c>
      <c r="J430" s="158" t="s">
        <v>2349</v>
      </c>
      <c r="K430" s="158" t="s">
        <v>25</v>
      </c>
      <c r="L430" s="158" t="s">
        <v>26</v>
      </c>
      <c r="M430" s="158" t="s">
        <v>27</v>
      </c>
      <c r="N430" s="158" t="s">
        <v>28</v>
      </c>
      <c r="O430" s="158" t="s">
        <v>29</v>
      </c>
      <c r="P430" s="158" t="s">
        <v>2350</v>
      </c>
    </row>
    <row r="431" spans="1:16" x14ac:dyDescent="0.25">
      <c r="A431" s="155" t="s">
        <v>2351</v>
      </c>
      <c r="B431" s="155" t="s">
        <v>1921</v>
      </c>
      <c r="C431" s="155" t="s">
        <v>2352</v>
      </c>
      <c r="D431" s="155" t="s">
        <v>2351</v>
      </c>
      <c r="E431" s="155" t="s">
        <v>1117</v>
      </c>
      <c r="F431" s="155" t="s">
        <v>1923</v>
      </c>
      <c r="G431" s="158" t="s">
        <v>2353</v>
      </c>
      <c r="H431" s="158" t="s">
        <v>2354</v>
      </c>
      <c r="I431" s="158" t="s">
        <v>2355</v>
      </c>
      <c r="J431" s="158" t="s">
        <v>2355</v>
      </c>
      <c r="K431" s="158" t="s">
        <v>25</v>
      </c>
      <c r="L431" s="158" t="s">
        <v>26</v>
      </c>
      <c r="M431" s="158" t="s">
        <v>27</v>
      </c>
      <c r="N431" s="158" t="s">
        <v>28</v>
      </c>
      <c r="O431" s="158" t="s">
        <v>29</v>
      </c>
      <c r="P431" s="158" t="s">
        <v>2356</v>
      </c>
    </row>
    <row r="432" spans="1:16" x14ac:dyDescent="0.25">
      <c r="A432" s="155" t="s">
        <v>2357</v>
      </c>
      <c r="B432" s="155" t="s">
        <v>1921</v>
      </c>
      <c r="C432" s="155" t="s">
        <v>2358</v>
      </c>
      <c r="D432" s="155" t="s">
        <v>2357</v>
      </c>
      <c r="E432" s="155" t="s">
        <v>1117</v>
      </c>
      <c r="F432" s="155" t="s">
        <v>1923</v>
      </c>
      <c r="G432" s="158" t="s">
        <v>2359</v>
      </c>
      <c r="H432" s="158" t="s">
        <v>2360</v>
      </c>
      <c r="I432" s="158" t="s">
        <v>2361</v>
      </c>
      <c r="J432" s="158" t="s">
        <v>2361</v>
      </c>
      <c r="K432" s="158" t="s">
        <v>25</v>
      </c>
      <c r="L432" s="158" t="s">
        <v>26</v>
      </c>
      <c r="M432" s="158" t="s">
        <v>27</v>
      </c>
      <c r="N432" s="158" t="s">
        <v>28</v>
      </c>
      <c r="O432" s="158" t="s">
        <v>29</v>
      </c>
      <c r="P432" s="158" t="s">
        <v>2362</v>
      </c>
    </row>
    <row r="433" spans="1:17" x14ac:dyDescent="0.25">
      <c r="A433" s="155" t="s">
        <v>2363</v>
      </c>
      <c r="B433" s="155" t="s">
        <v>1921</v>
      </c>
      <c r="G433" s="158" t="s">
        <v>2364</v>
      </c>
      <c r="H433" s="158" t="s">
        <v>2365</v>
      </c>
      <c r="I433" s="158" t="s">
        <v>2366</v>
      </c>
      <c r="J433" s="158" t="s">
        <v>2366</v>
      </c>
      <c r="K433" s="158" t="s">
        <v>1019</v>
      </c>
      <c r="L433" s="158" t="s">
        <v>26</v>
      </c>
      <c r="M433" s="158" t="s">
        <v>1020</v>
      </c>
      <c r="N433" s="158" t="s">
        <v>28</v>
      </c>
      <c r="O433" s="158" t="s">
        <v>1021</v>
      </c>
      <c r="P433" s="158" t="s">
        <v>2367</v>
      </c>
    </row>
    <row r="434" spans="1:17" x14ac:dyDescent="0.25">
      <c r="A434" s="155" t="s">
        <v>2368</v>
      </c>
      <c r="B434" s="155" t="s">
        <v>1921</v>
      </c>
      <c r="G434" s="158" t="s">
        <v>2369</v>
      </c>
      <c r="H434" s="158" t="s">
        <v>2370</v>
      </c>
      <c r="I434" s="158" t="s">
        <v>2371</v>
      </c>
      <c r="J434" s="158" t="s">
        <v>2371</v>
      </c>
      <c r="K434" s="158" t="s">
        <v>1019</v>
      </c>
      <c r="L434" s="158" t="s">
        <v>26</v>
      </c>
      <c r="M434" s="158" t="s">
        <v>1020</v>
      </c>
      <c r="N434" s="158" t="s">
        <v>28</v>
      </c>
      <c r="O434" s="158" t="s">
        <v>1021</v>
      </c>
      <c r="P434" s="158" t="s">
        <v>2372</v>
      </c>
    </row>
    <row r="435" spans="1:17" x14ac:dyDescent="0.25">
      <c r="A435" s="155" t="s">
        <v>2373</v>
      </c>
      <c r="B435" s="155" t="s">
        <v>1921</v>
      </c>
      <c r="G435" s="158" t="s">
        <v>2374</v>
      </c>
      <c r="H435" s="158" t="s">
        <v>2375</v>
      </c>
      <c r="I435" s="158" t="s">
        <v>2376</v>
      </c>
      <c r="J435" s="158" t="s">
        <v>2376</v>
      </c>
      <c r="K435" s="158" t="s">
        <v>1019</v>
      </c>
      <c r="L435" s="158" t="s">
        <v>26</v>
      </c>
      <c r="M435" s="158" t="s">
        <v>1020</v>
      </c>
      <c r="N435" s="158" t="s">
        <v>28</v>
      </c>
      <c r="O435" s="158" t="s">
        <v>1021</v>
      </c>
      <c r="P435" s="158" t="s">
        <v>2377</v>
      </c>
    </row>
    <row r="436" spans="1:17" x14ac:dyDescent="0.25">
      <c r="A436" s="155" t="s">
        <v>2378</v>
      </c>
      <c r="B436" s="155" t="s">
        <v>1921</v>
      </c>
      <c r="G436" s="158" t="s">
        <v>2379</v>
      </c>
      <c r="H436" s="158" t="s">
        <v>2380</v>
      </c>
      <c r="I436" s="158" t="s">
        <v>2381</v>
      </c>
      <c r="J436" s="158" t="s">
        <v>2381</v>
      </c>
      <c r="K436" s="158" t="s">
        <v>1019</v>
      </c>
      <c r="L436" s="158" t="s">
        <v>26</v>
      </c>
      <c r="M436" s="158" t="s">
        <v>1020</v>
      </c>
      <c r="N436" s="158" t="s">
        <v>28</v>
      </c>
      <c r="O436" s="158" t="s">
        <v>1021</v>
      </c>
      <c r="P436" s="158" t="s">
        <v>2382</v>
      </c>
    </row>
    <row r="437" spans="1:17" x14ac:dyDescent="0.25">
      <c r="A437" s="155" t="s">
        <v>2310</v>
      </c>
      <c r="B437" s="155" t="s">
        <v>1921</v>
      </c>
      <c r="C437" s="155" t="s">
        <v>2383</v>
      </c>
      <c r="D437" s="155" t="s">
        <v>2310</v>
      </c>
      <c r="E437" s="155" t="s">
        <v>1117</v>
      </c>
      <c r="F437" s="155" t="s">
        <v>1923</v>
      </c>
      <c r="G437" s="158" t="s">
        <v>2384</v>
      </c>
      <c r="H437" s="158" t="s">
        <v>2385</v>
      </c>
      <c r="I437" s="158" t="s">
        <v>2386</v>
      </c>
      <c r="J437" s="158" t="s">
        <v>2386</v>
      </c>
      <c r="K437" s="158" t="s">
        <v>220</v>
      </c>
      <c r="L437" s="158" t="s">
        <v>26</v>
      </c>
      <c r="M437" s="158" t="s">
        <v>221</v>
      </c>
      <c r="N437" s="158" t="s">
        <v>28</v>
      </c>
      <c r="O437" s="158" t="s">
        <v>222</v>
      </c>
      <c r="P437" s="158" t="s">
        <v>2387</v>
      </c>
    </row>
    <row r="438" spans="1:17" x14ac:dyDescent="0.25">
      <c r="A438" s="155" t="s">
        <v>2388</v>
      </c>
      <c r="B438" s="155" t="s">
        <v>1921</v>
      </c>
      <c r="C438" s="155" t="s">
        <v>2389</v>
      </c>
      <c r="D438" s="155" t="s">
        <v>2388</v>
      </c>
      <c r="E438" s="155" t="s">
        <v>1117</v>
      </c>
      <c r="F438" s="155" t="s">
        <v>1923</v>
      </c>
      <c r="G438" s="158" t="s">
        <v>2390</v>
      </c>
      <c r="H438" s="158" t="s">
        <v>2391</v>
      </c>
      <c r="I438" s="158" t="s">
        <v>2392</v>
      </c>
      <c r="J438" s="158" t="s">
        <v>2392</v>
      </c>
      <c r="K438" s="158" t="s">
        <v>25</v>
      </c>
      <c r="L438" s="158" t="s">
        <v>26</v>
      </c>
      <c r="M438" s="158" t="s">
        <v>27</v>
      </c>
      <c r="N438" s="158" t="s">
        <v>28</v>
      </c>
      <c r="O438" s="158" t="s">
        <v>29</v>
      </c>
      <c r="P438" s="158" t="s">
        <v>2393</v>
      </c>
    </row>
    <row r="439" spans="1:17" ht="30" x14ac:dyDescent="0.25">
      <c r="A439" s="155" t="s">
        <v>2394</v>
      </c>
      <c r="B439" s="155" t="s">
        <v>2395</v>
      </c>
      <c r="G439" s="162" t="s">
        <v>2396</v>
      </c>
      <c r="H439" s="162" t="s">
        <v>2397</v>
      </c>
      <c r="I439" s="162" t="s">
        <v>2398</v>
      </c>
      <c r="J439" s="162" t="s">
        <v>2399</v>
      </c>
      <c r="K439" s="162" t="s">
        <v>2400</v>
      </c>
      <c r="L439" s="162" t="s">
        <v>2401</v>
      </c>
      <c r="M439" s="162" t="s">
        <v>2402</v>
      </c>
      <c r="N439" s="162" t="s">
        <v>28</v>
      </c>
      <c r="O439" s="162" t="s">
        <v>2403</v>
      </c>
      <c r="P439" s="162" t="s">
        <v>2399</v>
      </c>
      <c r="Q439" s="163" t="s">
        <v>2404</v>
      </c>
    </row>
    <row r="440" spans="1:17" ht="30" x14ac:dyDescent="0.25">
      <c r="A440" s="155" t="s">
        <v>2405</v>
      </c>
      <c r="B440" s="155" t="s">
        <v>2395</v>
      </c>
      <c r="G440" s="162" t="s">
        <v>2406</v>
      </c>
      <c r="H440" s="162" t="s">
        <v>2407</v>
      </c>
      <c r="I440" s="162" t="s">
        <v>2398</v>
      </c>
      <c r="J440" s="162" t="s">
        <v>2408</v>
      </c>
      <c r="K440" s="162" t="s">
        <v>2400</v>
      </c>
      <c r="L440" s="162" t="s">
        <v>2401</v>
      </c>
      <c r="M440" s="162" t="s">
        <v>2402</v>
      </c>
      <c r="N440" s="162" t="s">
        <v>28</v>
      </c>
      <c r="O440" s="162" t="s">
        <v>2403</v>
      </c>
      <c r="P440" s="162" t="s">
        <v>2408</v>
      </c>
      <c r="Q440" s="163" t="s">
        <v>2409</v>
      </c>
    </row>
    <row r="441" spans="1:17" ht="30" x14ac:dyDescent="0.25">
      <c r="A441" s="155" t="s">
        <v>2410</v>
      </c>
      <c r="B441" s="155" t="s">
        <v>2395</v>
      </c>
      <c r="G441" s="162" t="s">
        <v>2411</v>
      </c>
      <c r="H441" s="162" t="s">
        <v>2412</v>
      </c>
      <c r="I441" s="162" t="s">
        <v>2398</v>
      </c>
      <c r="J441" s="162" t="s">
        <v>2413</v>
      </c>
      <c r="K441" s="162" t="s">
        <v>2400</v>
      </c>
      <c r="L441" s="162" t="s">
        <v>2401</v>
      </c>
      <c r="M441" s="162" t="s">
        <v>2402</v>
      </c>
      <c r="N441" s="162" t="s">
        <v>28</v>
      </c>
      <c r="O441" s="162" t="s">
        <v>2403</v>
      </c>
      <c r="P441" s="162" t="s">
        <v>2413</v>
      </c>
      <c r="Q441" s="163" t="s">
        <v>2414</v>
      </c>
    </row>
    <row r="442" spans="1:17" ht="30" x14ac:dyDescent="0.25">
      <c r="A442" s="155" t="s">
        <v>2415</v>
      </c>
      <c r="B442" s="155" t="s">
        <v>2395</v>
      </c>
      <c r="G442" s="162" t="s">
        <v>2416</v>
      </c>
      <c r="H442" s="162" t="s">
        <v>2417</v>
      </c>
      <c r="I442" s="162" t="s">
        <v>2398</v>
      </c>
      <c r="J442" s="162" t="s">
        <v>2418</v>
      </c>
      <c r="K442" s="162" t="s">
        <v>2400</v>
      </c>
      <c r="L442" s="162" t="s">
        <v>2401</v>
      </c>
      <c r="M442" s="162" t="s">
        <v>2402</v>
      </c>
      <c r="N442" s="162" t="s">
        <v>28</v>
      </c>
      <c r="O442" s="162" t="s">
        <v>2403</v>
      </c>
      <c r="P442" s="162" t="s">
        <v>2418</v>
      </c>
      <c r="Q442" s="163" t="s">
        <v>2419</v>
      </c>
    </row>
    <row r="443" spans="1:17" ht="30" x14ac:dyDescent="0.25">
      <c r="A443" s="155" t="s">
        <v>2420</v>
      </c>
      <c r="B443" s="155" t="s">
        <v>2395</v>
      </c>
      <c r="G443" s="162" t="s">
        <v>2421</v>
      </c>
      <c r="H443" s="162" t="s">
        <v>2422</v>
      </c>
      <c r="I443" s="162" t="s">
        <v>2398</v>
      </c>
      <c r="J443" s="162" t="s">
        <v>2423</v>
      </c>
      <c r="K443" s="162" t="s">
        <v>2400</v>
      </c>
      <c r="L443" s="162" t="s">
        <v>2401</v>
      </c>
      <c r="M443" s="162" t="s">
        <v>2402</v>
      </c>
      <c r="N443" s="162" t="s">
        <v>28</v>
      </c>
      <c r="O443" s="162" t="s">
        <v>2403</v>
      </c>
      <c r="P443" s="162" t="s">
        <v>2423</v>
      </c>
      <c r="Q443" s="163" t="s">
        <v>2424</v>
      </c>
    </row>
    <row r="444" spans="1:17" ht="30" x14ac:dyDescent="0.25">
      <c r="A444" s="155" t="s">
        <v>2425</v>
      </c>
      <c r="B444" s="155" t="s">
        <v>2395</v>
      </c>
      <c r="G444" s="162" t="s">
        <v>2426</v>
      </c>
      <c r="H444" s="162" t="s">
        <v>2427</v>
      </c>
      <c r="I444" s="162" t="s">
        <v>2398</v>
      </c>
      <c r="J444" s="162" t="s">
        <v>2428</v>
      </c>
      <c r="K444" s="162" t="s">
        <v>2400</v>
      </c>
      <c r="L444" s="162" t="s">
        <v>2401</v>
      </c>
      <c r="M444" s="162" t="s">
        <v>2402</v>
      </c>
      <c r="N444" s="162" t="s">
        <v>28</v>
      </c>
      <c r="O444" s="162" t="s">
        <v>2403</v>
      </c>
      <c r="P444" s="162" t="s">
        <v>2428</v>
      </c>
      <c r="Q444" s="163" t="s">
        <v>2429</v>
      </c>
    </row>
    <row r="445" spans="1:17" ht="30" x14ac:dyDescent="0.25">
      <c r="A445" s="155" t="s">
        <v>2430</v>
      </c>
      <c r="B445" s="155" t="s">
        <v>2395</v>
      </c>
      <c r="G445" s="162" t="s">
        <v>2431</v>
      </c>
      <c r="H445" s="162" t="s">
        <v>2432</v>
      </c>
      <c r="I445" s="162" t="s">
        <v>2398</v>
      </c>
      <c r="J445" s="162" t="s">
        <v>2433</v>
      </c>
      <c r="K445" s="162" t="s">
        <v>2434</v>
      </c>
      <c r="L445" s="162" t="s">
        <v>2401</v>
      </c>
      <c r="M445" s="162" t="s">
        <v>2435</v>
      </c>
      <c r="N445" s="162" t="s">
        <v>28</v>
      </c>
      <c r="O445" s="162" t="s">
        <v>2403</v>
      </c>
      <c r="P445" s="162" t="s">
        <v>2433</v>
      </c>
      <c r="Q445" s="163" t="s">
        <v>2436</v>
      </c>
    </row>
    <row r="446" spans="1:17" ht="30" x14ac:dyDescent="0.25">
      <c r="A446" s="155" t="s">
        <v>2437</v>
      </c>
      <c r="B446" s="155" t="s">
        <v>2395</v>
      </c>
      <c r="G446" s="162" t="s">
        <v>2438</v>
      </c>
      <c r="H446" s="162" t="s">
        <v>2439</v>
      </c>
      <c r="I446" s="162" t="s">
        <v>2398</v>
      </c>
      <c r="J446" s="162" t="s">
        <v>2440</v>
      </c>
      <c r="K446" s="162" t="s">
        <v>2434</v>
      </c>
      <c r="L446" s="162" t="s">
        <v>2401</v>
      </c>
      <c r="M446" s="162" t="s">
        <v>2435</v>
      </c>
      <c r="N446" s="162" t="s">
        <v>28</v>
      </c>
      <c r="O446" s="162" t="s">
        <v>2403</v>
      </c>
      <c r="P446" s="162" t="s">
        <v>2440</v>
      </c>
      <c r="Q446" s="163" t="s">
        <v>2441</v>
      </c>
    </row>
    <row r="447" spans="1:17" ht="30" x14ac:dyDescent="0.25">
      <c r="A447" s="155" t="s">
        <v>2442</v>
      </c>
      <c r="B447" s="155" t="s">
        <v>2395</v>
      </c>
      <c r="G447" s="162" t="s">
        <v>2443</v>
      </c>
      <c r="H447" s="162" t="s">
        <v>2444</v>
      </c>
      <c r="I447" s="162" t="s">
        <v>2398</v>
      </c>
      <c r="J447" s="162" t="s">
        <v>2445</v>
      </c>
      <c r="K447" s="162" t="s">
        <v>2434</v>
      </c>
      <c r="L447" s="162" t="s">
        <v>2401</v>
      </c>
      <c r="M447" s="162" t="s">
        <v>2435</v>
      </c>
      <c r="N447" s="162" t="s">
        <v>28</v>
      </c>
      <c r="O447" s="162" t="s">
        <v>2403</v>
      </c>
      <c r="P447" s="162" t="s">
        <v>2445</v>
      </c>
      <c r="Q447" s="163" t="s">
        <v>2446</v>
      </c>
    </row>
    <row r="448" spans="1:17" ht="30" x14ac:dyDescent="0.25">
      <c r="A448" s="155" t="s">
        <v>2447</v>
      </c>
      <c r="B448" s="155" t="s">
        <v>2395</v>
      </c>
      <c r="G448" s="162" t="s">
        <v>2448</v>
      </c>
      <c r="H448" s="162" t="s">
        <v>2449</v>
      </c>
      <c r="I448" s="162" t="s">
        <v>2398</v>
      </c>
      <c r="J448" s="162" t="s">
        <v>2450</v>
      </c>
      <c r="K448" s="162" t="s">
        <v>2434</v>
      </c>
      <c r="L448" s="162" t="s">
        <v>2401</v>
      </c>
      <c r="M448" s="162" t="s">
        <v>2435</v>
      </c>
      <c r="N448" s="162" t="s">
        <v>28</v>
      </c>
      <c r="O448" s="162" t="s">
        <v>2403</v>
      </c>
      <c r="P448" s="162" t="s">
        <v>2450</v>
      </c>
      <c r="Q448" s="163" t="s">
        <v>2451</v>
      </c>
    </row>
    <row r="449" spans="1:17" ht="30" x14ac:dyDescent="0.25">
      <c r="A449" s="155" t="s">
        <v>2452</v>
      </c>
      <c r="B449" s="155" t="s">
        <v>2395</v>
      </c>
      <c r="G449" s="162" t="s">
        <v>2453</v>
      </c>
      <c r="H449" s="162" t="s">
        <v>2454</v>
      </c>
      <c r="I449" s="162" t="s">
        <v>2398</v>
      </c>
      <c r="J449" s="162" t="s">
        <v>2455</v>
      </c>
      <c r="K449" s="162" t="s">
        <v>2434</v>
      </c>
      <c r="L449" s="162" t="s">
        <v>2401</v>
      </c>
      <c r="M449" s="162" t="s">
        <v>2435</v>
      </c>
      <c r="N449" s="162" t="s">
        <v>28</v>
      </c>
      <c r="O449" s="162" t="s">
        <v>2403</v>
      </c>
      <c r="P449" s="162" t="s">
        <v>2455</v>
      </c>
      <c r="Q449" s="163" t="s">
        <v>2456</v>
      </c>
    </row>
    <row r="450" spans="1:17" ht="30" x14ac:dyDescent="0.25">
      <c r="A450" s="155" t="s">
        <v>2457</v>
      </c>
      <c r="B450" s="155" t="s">
        <v>2395</v>
      </c>
      <c r="G450" s="162" t="s">
        <v>2458</v>
      </c>
      <c r="H450" s="162" t="s">
        <v>2459</v>
      </c>
      <c r="I450" s="162" t="s">
        <v>2398</v>
      </c>
      <c r="J450" s="162" t="s">
        <v>2460</v>
      </c>
      <c r="K450" s="162" t="s">
        <v>2434</v>
      </c>
      <c r="L450" s="162" t="s">
        <v>2401</v>
      </c>
      <c r="M450" s="162" t="s">
        <v>2435</v>
      </c>
      <c r="N450" s="162" t="s">
        <v>28</v>
      </c>
      <c r="O450" s="162" t="s">
        <v>2403</v>
      </c>
      <c r="P450" s="162" t="s">
        <v>2460</v>
      </c>
      <c r="Q450" s="163" t="s">
        <v>2461</v>
      </c>
    </row>
    <row r="451" spans="1:17" ht="30" x14ac:dyDescent="0.25">
      <c r="A451" s="155" t="s">
        <v>2462</v>
      </c>
      <c r="B451" s="155" t="s">
        <v>2395</v>
      </c>
      <c r="G451" s="162" t="s">
        <v>2463</v>
      </c>
      <c r="H451" s="162" t="s">
        <v>2464</v>
      </c>
      <c r="I451" s="162" t="s">
        <v>2398</v>
      </c>
      <c r="J451" s="162" t="s">
        <v>2465</v>
      </c>
      <c r="K451" s="162" t="s">
        <v>2434</v>
      </c>
      <c r="L451" s="162" t="s">
        <v>2401</v>
      </c>
      <c r="M451" s="162" t="s">
        <v>2435</v>
      </c>
      <c r="N451" s="162" t="s">
        <v>28</v>
      </c>
      <c r="O451" s="162" t="s">
        <v>2403</v>
      </c>
      <c r="P451" s="162" t="s">
        <v>2465</v>
      </c>
      <c r="Q451" s="163" t="s">
        <v>2466</v>
      </c>
    </row>
    <row r="452" spans="1:17" ht="30" x14ac:dyDescent="0.25">
      <c r="A452" s="155" t="s">
        <v>2467</v>
      </c>
      <c r="B452" s="155" t="s">
        <v>2395</v>
      </c>
      <c r="G452" s="162" t="s">
        <v>2468</v>
      </c>
      <c r="H452" s="162" t="s">
        <v>2469</v>
      </c>
      <c r="I452" s="162" t="s">
        <v>2398</v>
      </c>
      <c r="J452" s="162" t="s">
        <v>2470</v>
      </c>
      <c r="K452" s="162" t="s">
        <v>2434</v>
      </c>
      <c r="L452" s="162" t="s">
        <v>2401</v>
      </c>
      <c r="M452" s="162" t="s">
        <v>2435</v>
      </c>
      <c r="N452" s="162" t="s">
        <v>28</v>
      </c>
      <c r="O452" s="162" t="s">
        <v>2403</v>
      </c>
      <c r="P452" s="162" t="s">
        <v>2470</v>
      </c>
      <c r="Q452" s="163" t="s">
        <v>2471</v>
      </c>
    </row>
    <row r="453" spans="1:17" ht="30" x14ac:dyDescent="0.25">
      <c r="A453" s="155" t="s">
        <v>2472</v>
      </c>
      <c r="B453" s="155" t="s">
        <v>2395</v>
      </c>
      <c r="G453" s="162" t="s">
        <v>2473</v>
      </c>
      <c r="H453" s="162" t="s">
        <v>2474</v>
      </c>
      <c r="I453" s="162" t="s">
        <v>2398</v>
      </c>
      <c r="J453" s="162" t="s">
        <v>2475</v>
      </c>
      <c r="K453" s="162" t="s">
        <v>2434</v>
      </c>
      <c r="L453" s="162" t="s">
        <v>2401</v>
      </c>
      <c r="M453" s="162" t="s">
        <v>2435</v>
      </c>
      <c r="N453" s="162" t="s">
        <v>28</v>
      </c>
      <c r="O453" s="162" t="s">
        <v>2403</v>
      </c>
      <c r="P453" s="162" t="s">
        <v>2475</v>
      </c>
      <c r="Q453" s="163" t="s">
        <v>2476</v>
      </c>
    </row>
    <row r="454" spans="1:17" ht="30" x14ac:dyDescent="0.25">
      <c r="A454" s="155" t="s">
        <v>2477</v>
      </c>
      <c r="B454" s="155" t="s">
        <v>2395</v>
      </c>
      <c r="G454" s="162" t="s">
        <v>2478</v>
      </c>
      <c r="H454" s="162" t="s">
        <v>2479</v>
      </c>
      <c r="I454" s="162" t="s">
        <v>2398</v>
      </c>
      <c r="J454" s="162" t="s">
        <v>2480</v>
      </c>
      <c r="K454" s="162" t="s">
        <v>2434</v>
      </c>
      <c r="L454" s="162" t="s">
        <v>2401</v>
      </c>
      <c r="M454" s="162" t="s">
        <v>2435</v>
      </c>
      <c r="N454" s="162" t="s">
        <v>28</v>
      </c>
      <c r="O454" s="162" t="s">
        <v>2403</v>
      </c>
      <c r="P454" s="162" t="s">
        <v>2480</v>
      </c>
      <c r="Q454" s="163" t="s">
        <v>2481</v>
      </c>
    </row>
    <row r="455" spans="1:17" ht="30" x14ac:dyDescent="0.25">
      <c r="A455" s="155" t="s">
        <v>2482</v>
      </c>
      <c r="B455" s="155" t="s">
        <v>2395</v>
      </c>
      <c r="G455" s="162" t="s">
        <v>2483</v>
      </c>
      <c r="H455" s="162" t="s">
        <v>2484</v>
      </c>
      <c r="I455" s="162" t="s">
        <v>2398</v>
      </c>
      <c r="J455" s="162" t="s">
        <v>2485</v>
      </c>
      <c r="K455" s="162" t="s">
        <v>2434</v>
      </c>
      <c r="L455" s="162" t="s">
        <v>2401</v>
      </c>
      <c r="M455" s="162" t="s">
        <v>2435</v>
      </c>
      <c r="N455" s="162" t="s">
        <v>28</v>
      </c>
      <c r="O455" s="162" t="s">
        <v>2403</v>
      </c>
      <c r="P455" s="162" t="s">
        <v>2485</v>
      </c>
      <c r="Q455" s="163" t="s">
        <v>2486</v>
      </c>
    </row>
    <row r="456" spans="1:17" ht="30" x14ac:dyDescent="0.25">
      <c r="A456" s="155" t="s">
        <v>2487</v>
      </c>
      <c r="B456" s="155" t="s">
        <v>2395</v>
      </c>
      <c r="G456" s="162" t="s">
        <v>2488</v>
      </c>
      <c r="H456" s="162" t="s">
        <v>2489</v>
      </c>
      <c r="I456" s="162" t="s">
        <v>2398</v>
      </c>
      <c r="J456" s="162" t="s">
        <v>2490</v>
      </c>
      <c r="K456" s="162" t="s">
        <v>2434</v>
      </c>
      <c r="L456" s="162" t="s">
        <v>2401</v>
      </c>
      <c r="M456" s="162" t="s">
        <v>2435</v>
      </c>
      <c r="N456" s="162" t="s">
        <v>28</v>
      </c>
      <c r="O456" s="162" t="s">
        <v>2403</v>
      </c>
      <c r="P456" s="162" t="s">
        <v>2490</v>
      </c>
      <c r="Q456" s="163" t="s">
        <v>2491</v>
      </c>
    </row>
    <row r="457" spans="1:17" ht="45" x14ac:dyDescent="0.25">
      <c r="B457" s="155" t="s">
        <v>2395</v>
      </c>
      <c r="G457" s="162" t="s">
        <v>2492</v>
      </c>
      <c r="H457" s="162" t="s">
        <v>2493</v>
      </c>
      <c r="I457" s="162" t="s">
        <v>2494</v>
      </c>
      <c r="J457" s="162" t="s">
        <v>2495</v>
      </c>
      <c r="K457" s="162" t="s">
        <v>2400</v>
      </c>
      <c r="L457" s="162" t="s">
        <v>2401</v>
      </c>
      <c r="M457" s="162" t="s">
        <v>2402</v>
      </c>
      <c r="N457" s="162" t="s">
        <v>28</v>
      </c>
      <c r="O457" s="162" t="s">
        <v>2403</v>
      </c>
      <c r="P457" s="162" t="s">
        <v>2495</v>
      </c>
      <c r="Q457" s="163" t="s">
        <v>2496</v>
      </c>
    </row>
    <row r="458" spans="1:17" ht="45" x14ac:dyDescent="0.25">
      <c r="B458" s="155" t="s">
        <v>2395</v>
      </c>
      <c r="G458" s="162" t="s">
        <v>2497</v>
      </c>
      <c r="H458" s="162" t="s">
        <v>2498</v>
      </c>
      <c r="I458" s="162" t="s">
        <v>2499</v>
      </c>
      <c r="J458" s="162" t="s">
        <v>2500</v>
      </c>
      <c r="K458" s="162" t="s">
        <v>2400</v>
      </c>
      <c r="L458" s="162" t="s">
        <v>2401</v>
      </c>
      <c r="M458" s="162" t="s">
        <v>2402</v>
      </c>
      <c r="N458" s="162" t="s">
        <v>28</v>
      </c>
      <c r="O458" s="162" t="s">
        <v>2403</v>
      </c>
      <c r="P458" s="162" t="s">
        <v>2500</v>
      </c>
      <c r="Q458" s="163" t="s">
        <v>2501</v>
      </c>
    </row>
    <row r="459" spans="1:17" ht="30" x14ac:dyDescent="0.25">
      <c r="A459" s="155" t="s">
        <v>2655</v>
      </c>
      <c r="B459" s="155" t="s">
        <v>2395</v>
      </c>
      <c r="G459" s="162" t="s">
        <v>2502</v>
      </c>
      <c r="H459" s="162" t="s">
        <v>2503</v>
      </c>
      <c r="I459" s="162" t="s">
        <v>2398</v>
      </c>
      <c r="J459" s="162" t="s">
        <v>2504</v>
      </c>
      <c r="K459" s="162" t="s">
        <v>2434</v>
      </c>
      <c r="L459" s="162" t="s">
        <v>2401</v>
      </c>
      <c r="M459" s="162" t="s">
        <v>2435</v>
      </c>
      <c r="N459" s="162" t="s">
        <v>28</v>
      </c>
      <c r="O459" s="162" t="s">
        <v>2403</v>
      </c>
      <c r="P459" s="162" t="s">
        <v>2504</v>
      </c>
      <c r="Q459" s="163" t="s">
        <v>2505</v>
      </c>
    </row>
    <row r="460" spans="1:17" s="43" customFormat="1" ht="30" x14ac:dyDescent="0.25">
      <c r="A460" s="43" t="s">
        <v>2656</v>
      </c>
      <c r="B460" s="43" t="s">
        <v>2395</v>
      </c>
      <c r="G460" s="164" t="s">
        <v>2506</v>
      </c>
      <c r="H460" s="164" t="s">
        <v>2507</v>
      </c>
      <c r="I460" s="164" t="s">
        <v>2398</v>
      </c>
      <c r="J460" s="164" t="s">
        <v>2508</v>
      </c>
      <c r="K460" s="164" t="s">
        <v>2434</v>
      </c>
      <c r="L460" s="164" t="s">
        <v>2401</v>
      </c>
      <c r="M460" s="164" t="s">
        <v>2435</v>
      </c>
      <c r="N460" s="164" t="s">
        <v>28</v>
      </c>
      <c r="O460" s="164" t="s">
        <v>2403</v>
      </c>
      <c r="P460" s="164" t="s">
        <v>2508</v>
      </c>
      <c r="Q460" s="165" t="s">
        <v>2509</v>
      </c>
    </row>
    <row r="461" spans="1:17" x14ac:dyDescent="0.25">
      <c r="A461" s="155" t="s">
        <v>2630</v>
      </c>
      <c r="B461" s="155" t="s">
        <v>2631</v>
      </c>
      <c r="G461" s="155" t="s">
        <v>2629</v>
      </c>
      <c r="H461" s="155" t="s">
        <v>2632</v>
      </c>
      <c r="I461" s="155" t="s">
        <v>2630</v>
      </c>
      <c r="J461" s="155" t="s">
        <v>2631</v>
      </c>
      <c r="K461" s="155" t="s">
        <v>2633</v>
      </c>
      <c r="L461" s="155" t="s">
        <v>2634</v>
      </c>
      <c r="M461" s="155" t="s">
        <v>2639</v>
      </c>
      <c r="N461" s="155" t="s">
        <v>28</v>
      </c>
      <c r="O461" s="155" t="s">
        <v>2635</v>
      </c>
      <c r="Q461" s="155" t="s">
        <v>2630</v>
      </c>
    </row>
    <row r="462" spans="1:17" x14ac:dyDescent="0.25">
      <c r="A462" s="155" t="s">
        <v>2636</v>
      </c>
      <c r="B462" s="155" t="s">
        <v>2631</v>
      </c>
      <c r="G462" s="155" t="s">
        <v>2637</v>
      </c>
      <c r="H462" s="155" t="s">
        <v>2638</v>
      </c>
      <c r="I462" s="155" t="s">
        <v>2636</v>
      </c>
      <c r="J462" s="155" t="s">
        <v>2631</v>
      </c>
      <c r="K462" s="155" t="s">
        <v>2633</v>
      </c>
      <c r="L462" s="155" t="s">
        <v>2634</v>
      </c>
      <c r="M462" s="155" t="s">
        <v>2639</v>
      </c>
      <c r="N462" s="155" t="s">
        <v>28</v>
      </c>
      <c r="O462" s="155" t="s">
        <v>2635</v>
      </c>
      <c r="P462" s="155" t="s">
        <v>2640</v>
      </c>
      <c r="Q462" s="155" t="s">
        <v>2636</v>
      </c>
    </row>
    <row r="463" spans="1:17" x14ac:dyDescent="0.25">
      <c r="A463" s="155" t="s">
        <v>2647</v>
      </c>
      <c r="B463" s="155" t="s">
        <v>236</v>
      </c>
      <c r="G463" s="155" t="s">
        <v>2641</v>
      </c>
      <c r="H463" s="155" t="s">
        <v>2642</v>
      </c>
      <c r="I463" s="155" t="s">
        <v>2643</v>
      </c>
      <c r="K463" s="155" t="s">
        <v>2644</v>
      </c>
      <c r="L463" s="155" t="s">
        <v>2645</v>
      </c>
      <c r="M463" s="155" t="s">
        <v>2646</v>
      </c>
      <c r="N463" s="155" t="s">
        <v>28</v>
      </c>
      <c r="O463" s="155" t="s">
        <v>2635</v>
      </c>
      <c r="Q463" s="155" t="s">
        <v>2647</v>
      </c>
    </row>
    <row r="464" spans="1:17" x14ac:dyDescent="0.25">
      <c r="A464" s="155" t="s">
        <v>2654</v>
      </c>
      <c r="G464" s="155" t="s">
        <v>2648</v>
      </c>
      <c r="H464" s="155" t="s">
        <v>2649</v>
      </c>
      <c r="I464" s="155" t="s">
        <v>2398</v>
      </c>
      <c r="J464" s="155" t="s">
        <v>2650</v>
      </c>
      <c r="K464" s="155" t="s">
        <v>2651</v>
      </c>
      <c r="L464" s="155" t="s">
        <v>2401</v>
      </c>
      <c r="M464" s="155" t="s">
        <v>2652</v>
      </c>
      <c r="N464" s="155" t="s">
        <v>28</v>
      </c>
      <c r="O464" s="162" t="s">
        <v>2403</v>
      </c>
      <c r="Q464" s="155" t="s">
        <v>2653</v>
      </c>
    </row>
    <row r="465" s="155" customFormat="1" x14ac:dyDescent="0.25"/>
  </sheetData>
  <phoneticPr fontId="1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BE84-ACDA-4E72-84D6-A7EE79C9C0E6}">
  <sheetPr codeName="Sheet2"/>
  <dimension ref="A1:ER63"/>
  <sheetViews>
    <sheetView showRowColHeaders="0" topLeftCell="A4" zoomScaleNormal="100" workbookViewId="0">
      <pane xSplit="4" topLeftCell="EH1" activePane="topRight" state="frozenSplit"/>
      <selection pane="topRight" activeCell="EP28" sqref="EP28"/>
    </sheetView>
  </sheetViews>
  <sheetFormatPr defaultRowHeight="15" x14ac:dyDescent="0.25"/>
  <cols>
    <col min="1" max="1" width="3.5703125" style="25" customWidth="1"/>
    <col min="2" max="2" width="19.140625" style="25" bestFit="1" customWidth="1"/>
    <col min="3" max="3" width="24" style="25" customWidth="1"/>
    <col min="4" max="4" width="3" style="25" customWidth="1"/>
    <col min="5" max="151" width="9.140625" style="25"/>
    <col min="152" max="152" width="2.7109375" style="25" customWidth="1"/>
    <col min="153" max="153" width="22.140625" style="25" bestFit="1" customWidth="1"/>
    <col min="154" max="154" width="22" style="25" customWidth="1"/>
    <col min="155" max="155" width="2.7109375" style="25" customWidth="1"/>
    <col min="156" max="16384" width="9.140625" style="25"/>
  </cols>
  <sheetData>
    <row r="1" spans="1:148" ht="16.5" thickTop="1" thickBot="1" x14ac:dyDescent="0.3">
      <c r="A1" s="21"/>
      <c r="B1" s="22"/>
      <c r="C1" s="22"/>
      <c r="D1" s="23"/>
      <c r="H1" s="61" t="s">
        <v>2510</v>
      </c>
      <c r="J1" s="52" t="s">
        <v>2511</v>
      </c>
      <c r="M1" s="52" t="s">
        <v>2512</v>
      </c>
      <c r="O1" s="61" t="s">
        <v>2513</v>
      </c>
      <c r="Q1" s="52" t="s">
        <v>2514</v>
      </c>
      <c r="R1" s="61" t="s">
        <v>2515</v>
      </c>
      <c r="V1" s="52" t="s">
        <v>2516</v>
      </c>
      <c r="X1" s="52" t="s">
        <v>2517</v>
      </c>
      <c r="Z1" s="52" t="s">
        <v>2518</v>
      </c>
      <c r="AA1" s="52" t="s">
        <v>2519</v>
      </c>
      <c r="AB1" s="52" t="s">
        <v>2520</v>
      </c>
      <c r="AC1" s="52" t="s">
        <v>2521</v>
      </c>
      <c r="AF1" s="52" t="s">
        <v>2522</v>
      </c>
      <c r="AG1" s="52" t="s">
        <v>2523</v>
      </c>
      <c r="AH1" s="52" t="s">
        <v>2524</v>
      </c>
      <c r="AI1" s="52" t="s">
        <v>2525</v>
      </c>
      <c r="AK1" s="52" t="s">
        <v>2526</v>
      </c>
      <c r="AL1" s="52" t="s">
        <v>2527</v>
      </c>
      <c r="AO1" s="52" t="s">
        <v>2528</v>
      </c>
      <c r="AQ1" s="52" t="s">
        <v>2529</v>
      </c>
      <c r="AR1" s="52" t="s">
        <v>2530</v>
      </c>
      <c r="AT1" s="52" t="s">
        <v>2531</v>
      </c>
      <c r="AW1" s="52" t="s">
        <v>2532</v>
      </c>
      <c r="AY1" s="52" t="s">
        <v>2533</v>
      </c>
      <c r="BB1" s="52" t="s">
        <v>2534</v>
      </c>
      <c r="BC1" s="52" t="s">
        <v>2535</v>
      </c>
      <c r="BD1" s="52" t="s">
        <v>2536</v>
      </c>
      <c r="BF1" s="52" t="s">
        <v>2537</v>
      </c>
      <c r="BG1" s="52" t="s">
        <v>2538</v>
      </c>
      <c r="BH1" s="52" t="s">
        <v>2539</v>
      </c>
      <c r="BL1" s="52" t="s">
        <v>2540</v>
      </c>
      <c r="BN1" s="52" t="s">
        <v>2541</v>
      </c>
      <c r="BO1" s="52" t="s">
        <v>2542</v>
      </c>
      <c r="BQ1" s="52" t="s">
        <v>2543</v>
      </c>
      <c r="BR1" s="52" t="s">
        <v>2544</v>
      </c>
      <c r="BU1" s="52" t="s">
        <v>2545</v>
      </c>
      <c r="BY1" s="52" t="s">
        <v>2546</v>
      </c>
      <c r="CA1" s="52" t="s">
        <v>2547</v>
      </c>
      <c r="CB1" s="52" t="s">
        <v>2548</v>
      </c>
      <c r="CC1" s="52" t="s">
        <v>2549</v>
      </c>
      <c r="CE1" s="52" t="s">
        <v>2550</v>
      </c>
      <c r="CF1" s="52" t="s">
        <v>2551</v>
      </c>
      <c r="CI1" s="52" t="s">
        <v>2552</v>
      </c>
      <c r="CL1" s="52" t="s">
        <v>2553</v>
      </c>
      <c r="CM1" s="52" t="s">
        <v>2554</v>
      </c>
      <c r="CN1" s="52" t="s">
        <v>2555</v>
      </c>
      <c r="CO1" s="52" t="s">
        <v>2556</v>
      </c>
      <c r="CP1" s="52" t="s">
        <v>2557</v>
      </c>
      <c r="CV1" s="52" t="s">
        <v>2558</v>
      </c>
      <c r="CW1" s="52" t="s">
        <v>2559</v>
      </c>
      <c r="CX1" s="52" t="s">
        <v>2560</v>
      </c>
      <c r="DA1" s="52" t="s">
        <v>2561</v>
      </c>
      <c r="DC1" s="52" t="s">
        <v>2562</v>
      </c>
      <c r="DE1" s="52" t="s">
        <v>2563</v>
      </c>
      <c r="DL1" s="52" t="s">
        <v>2564</v>
      </c>
      <c r="DM1" s="52" t="s">
        <v>2565</v>
      </c>
      <c r="DN1" s="52" t="s">
        <v>2566</v>
      </c>
      <c r="DP1" s="52" t="s">
        <v>2567</v>
      </c>
      <c r="DR1" s="52" t="s">
        <v>2568</v>
      </c>
      <c r="DT1" s="72" t="s">
        <v>2618</v>
      </c>
      <c r="DU1" s="72"/>
    </row>
    <row r="2" spans="1:148" ht="15.75" thickBot="1" x14ac:dyDescent="0.3">
      <c r="A2" s="32"/>
      <c r="B2" s="32"/>
      <c r="C2" s="32"/>
      <c r="D2" s="27"/>
      <c r="H2" s="135" t="s">
        <v>2442</v>
      </c>
      <c r="O2" s="67" t="s">
        <v>2394</v>
      </c>
      <c r="R2" s="135" t="s">
        <v>2394</v>
      </c>
    </row>
    <row r="3" spans="1:148" ht="15.75" thickBot="1" x14ac:dyDescent="0.3">
      <c r="A3" s="32"/>
      <c r="B3" s="32"/>
      <c r="C3" s="32"/>
      <c r="D3" s="27"/>
      <c r="H3" s="136"/>
      <c r="O3" s="67" t="s">
        <v>2405</v>
      </c>
      <c r="R3" s="136"/>
      <c r="AH3" s="67" t="s">
        <v>2430</v>
      </c>
      <c r="BZ3" s="67" t="s">
        <v>2405</v>
      </c>
      <c r="CV3" s="124" t="s">
        <v>2452</v>
      </c>
      <c r="CW3" s="125"/>
      <c r="CX3" s="126"/>
      <c r="CY3" s="135" t="s">
        <v>2487</v>
      </c>
      <c r="CZ3" s="135" t="s">
        <v>2447</v>
      </c>
      <c r="DA3" s="138" t="s">
        <v>2482</v>
      </c>
      <c r="DB3" s="139"/>
      <c r="DC3" s="139"/>
      <c r="DD3" s="139"/>
      <c r="DE3" s="140"/>
    </row>
    <row r="4" spans="1:148" ht="15.75" thickBot="1" x14ac:dyDescent="0.3">
      <c r="A4" s="32"/>
      <c r="B4" s="32"/>
      <c r="C4" s="32"/>
      <c r="D4" s="27"/>
      <c r="H4" s="124" t="s">
        <v>2457</v>
      </c>
      <c r="I4" s="125"/>
      <c r="J4" s="125"/>
      <c r="K4" s="125"/>
      <c r="L4" s="125"/>
      <c r="M4" s="125"/>
      <c r="N4" s="126"/>
      <c r="O4" s="62"/>
      <c r="P4" s="124" t="s">
        <v>2477</v>
      </c>
      <c r="Q4" s="125"/>
      <c r="R4" s="126"/>
      <c r="CY4" s="136"/>
      <c r="CZ4" s="136"/>
    </row>
    <row r="5" spans="1:148" ht="15.75" thickBot="1" x14ac:dyDescent="0.3">
      <c r="A5" s="32"/>
      <c r="B5" s="34"/>
      <c r="C5" s="34"/>
      <c r="D5" s="27"/>
      <c r="E5" s="53"/>
      <c r="F5" s="1">
        <v>1052</v>
      </c>
      <c r="G5" s="2">
        <v>1052</v>
      </c>
      <c r="H5" s="144">
        <v>1050</v>
      </c>
      <c r="I5" s="145"/>
      <c r="J5" s="63">
        <v>1036.06</v>
      </c>
      <c r="K5" s="63">
        <v>1036.05</v>
      </c>
      <c r="L5" s="63">
        <v>1036.04</v>
      </c>
      <c r="M5" s="63">
        <v>1036.03</v>
      </c>
      <c r="N5" s="63">
        <v>1036.02</v>
      </c>
      <c r="O5" s="64">
        <v>1036.01</v>
      </c>
      <c r="P5" s="57">
        <v>1034.06</v>
      </c>
      <c r="Q5" s="57">
        <v>1034.05</v>
      </c>
      <c r="R5" s="57">
        <v>1034.04</v>
      </c>
      <c r="S5" s="4">
        <v>1034.03</v>
      </c>
      <c r="T5" s="4">
        <v>1034.02</v>
      </c>
      <c r="U5" s="51" t="s">
        <v>2227</v>
      </c>
      <c r="V5" s="4" t="s">
        <v>2181</v>
      </c>
      <c r="W5" s="90" t="s">
        <v>2176</v>
      </c>
      <c r="X5" s="91"/>
      <c r="Y5" s="90" t="s">
        <v>2171</v>
      </c>
      <c r="Z5" s="91"/>
      <c r="AA5" s="4">
        <v>1024.1600000000001</v>
      </c>
      <c r="AB5" s="4">
        <v>1024.1500000000001</v>
      </c>
      <c r="AC5" s="4">
        <v>1024.1400000000001</v>
      </c>
      <c r="AD5" s="4">
        <v>1024.1300000000001</v>
      </c>
      <c r="AE5" s="4">
        <v>1024.1199999999999</v>
      </c>
      <c r="AF5" s="4">
        <v>1024.1099999999999</v>
      </c>
      <c r="AG5" s="5" t="s">
        <v>2135</v>
      </c>
      <c r="AH5" s="4">
        <v>1024.0899999999999</v>
      </c>
      <c r="AI5" s="4">
        <v>1024.08</v>
      </c>
      <c r="AJ5" s="4">
        <v>1024.07</v>
      </c>
      <c r="AK5" s="4">
        <v>1024.06</v>
      </c>
      <c r="AL5" s="4">
        <v>1024.05</v>
      </c>
      <c r="AM5" s="90">
        <v>1024.04</v>
      </c>
      <c r="AN5" s="91"/>
      <c r="AO5" s="4">
        <v>1024.03</v>
      </c>
      <c r="AP5" s="4">
        <v>1024.02</v>
      </c>
      <c r="AQ5" s="4">
        <v>1024.01</v>
      </c>
      <c r="AR5" s="6">
        <v>1012.24</v>
      </c>
      <c r="AS5" s="6">
        <v>1012.23</v>
      </c>
      <c r="AT5" s="6">
        <v>1012.22</v>
      </c>
      <c r="AU5" s="146">
        <v>1012.21</v>
      </c>
      <c r="AV5" s="147"/>
      <c r="AW5" s="146" t="s">
        <v>2023</v>
      </c>
      <c r="AX5" s="148"/>
      <c r="AY5" s="6">
        <v>1012.19</v>
      </c>
      <c r="AZ5" s="146">
        <v>1012.18</v>
      </c>
      <c r="BA5" s="148"/>
      <c r="BB5" s="6">
        <v>1012.17</v>
      </c>
      <c r="BC5" s="6">
        <v>1012.16</v>
      </c>
      <c r="BD5" s="6">
        <v>1012.15</v>
      </c>
      <c r="BE5" s="6">
        <v>1012.14</v>
      </c>
      <c r="BF5" s="6">
        <v>1012.13</v>
      </c>
      <c r="BG5" s="6" t="s">
        <v>1981</v>
      </c>
      <c r="BH5" s="6">
        <v>1012.11</v>
      </c>
      <c r="BI5" s="146" t="s">
        <v>1971</v>
      </c>
      <c r="BJ5" s="148"/>
      <c r="BK5" s="146">
        <v>1012.09</v>
      </c>
      <c r="BL5" s="148"/>
      <c r="BM5" s="146">
        <v>1012.08</v>
      </c>
      <c r="BN5" s="148"/>
      <c r="BO5" s="6">
        <v>1012.07</v>
      </c>
      <c r="BP5" s="6">
        <v>1012.06</v>
      </c>
      <c r="BQ5" s="6">
        <v>1012.05</v>
      </c>
      <c r="BR5" s="6">
        <v>1012.04</v>
      </c>
      <c r="BS5" s="6">
        <v>1012.03</v>
      </c>
      <c r="BT5" s="6">
        <v>1012.02</v>
      </c>
      <c r="BU5" s="7"/>
      <c r="BV5" s="7"/>
      <c r="BW5" s="7"/>
      <c r="BX5" s="7"/>
      <c r="BY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136"/>
      <c r="CZ5" s="136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24"/>
    </row>
    <row r="6" spans="1:148" ht="17.25" thickTop="1" thickBot="1" x14ac:dyDescent="0.3">
      <c r="A6" s="26"/>
      <c r="B6" s="75" t="s">
        <v>2569</v>
      </c>
      <c r="C6" s="76"/>
      <c r="D6" s="27"/>
      <c r="E6" s="53"/>
      <c r="F6" s="8">
        <v>1052</v>
      </c>
      <c r="G6" s="7"/>
      <c r="H6" s="7"/>
      <c r="I6" s="7"/>
      <c r="J6" s="7"/>
      <c r="K6" s="7"/>
      <c r="L6" s="7"/>
      <c r="M6" s="7"/>
      <c r="N6" s="7"/>
      <c r="O6" s="122" t="s">
        <v>2467</v>
      </c>
      <c r="P6" s="7"/>
      <c r="Q6" s="7"/>
      <c r="R6" s="7"/>
      <c r="S6" s="7"/>
      <c r="T6" s="7"/>
      <c r="U6" s="56" t="s">
        <v>2222</v>
      </c>
      <c r="V6" s="4" t="s">
        <v>2217</v>
      </c>
      <c r="W6" s="4">
        <v>1030.06</v>
      </c>
      <c r="X6" s="4">
        <v>1030.05</v>
      </c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6">
        <v>1020.08</v>
      </c>
      <c r="AR6" s="6">
        <v>1020.07</v>
      </c>
      <c r="AS6" s="6">
        <v>1020.06</v>
      </c>
      <c r="AT6" s="4">
        <v>1020.05</v>
      </c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4">
        <v>1012.01</v>
      </c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137"/>
      <c r="CZ6" s="137"/>
      <c r="DA6" s="7"/>
      <c r="DB6" s="7"/>
      <c r="DC6" s="7"/>
      <c r="DD6" s="7"/>
      <c r="DE6" s="7"/>
      <c r="DF6" s="7"/>
      <c r="DG6" s="7"/>
      <c r="DH6" s="94">
        <v>204.28</v>
      </c>
      <c r="DI6" s="109"/>
      <c r="DJ6" s="13">
        <v>204.29</v>
      </c>
      <c r="DK6" s="13" t="s">
        <v>193</v>
      </c>
      <c r="DL6" s="13">
        <v>204.31</v>
      </c>
      <c r="DM6" s="13">
        <v>204.32</v>
      </c>
      <c r="DN6" s="13">
        <v>204.33</v>
      </c>
      <c r="DO6" s="94">
        <v>200</v>
      </c>
      <c r="DP6" s="95"/>
      <c r="DQ6" s="95"/>
      <c r="DR6" s="109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24"/>
    </row>
    <row r="7" spans="1:148" ht="16.5" thickTop="1" thickBot="1" x14ac:dyDescent="0.3">
      <c r="A7" s="26"/>
      <c r="B7" s="38" t="s">
        <v>2570</v>
      </c>
      <c r="C7" s="39" t="s">
        <v>2647</v>
      </c>
      <c r="D7" s="27"/>
      <c r="E7" s="53"/>
      <c r="F7" s="141">
        <v>1056</v>
      </c>
      <c r="G7" s="7"/>
      <c r="H7" s="7"/>
      <c r="I7" s="7"/>
      <c r="J7" s="7"/>
      <c r="K7" s="7"/>
      <c r="L7" s="7"/>
      <c r="M7" s="7"/>
      <c r="N7" s="7"/>
      <c r="O7" s="123"/>
      <c r="P7" s="7"/>
      <c r="Q7" s="7"/>
      <c r="R7" s="7"/>
      <c r="S7" s="7"/>
      <c r="T7" s="7"/>
      <c r="U7" s="7"/>
      <c r="V7" s="7"/>
      <c r="W7" s="7"/>
      <c r="X7" s="9">
        <v>1030.04</v>
      </c>
      <c r="Y7" s="7"/>
      <c r="Z7" s="7"/>
      <c r="AA7" s="97" t="s">
        <v>1915</v>
      </c>
      <c r="AB7" s="7"/>
      <c r="AC7" s="7"/>
      <c r="AD7" s="97" t="s">
        <v>1910</v>
      </c>
      <c r="AE7" s="7"/>
      <c r="AF7" s="7"/>
      <c r="AG7" s="97" t="s">
        <v>1905</v>
      </c>
      <c r="AH7" s="7"/>
      <c r="AI7" s="7"/>
      <c r="AJ7" s="97" t="s">
        <v>1900</v>
      </c>
      <c r="AK7" s="7"/>
      <c r="AL7" s="7"/>
      <c r="AM7" s="7"/>
      <c r="AN7" s="7"/>
      <c r="AO7" s="7"/>
      <c r="AP7" s="7"/>
      <c r="AQ7" s="7"/>
      <c r="AR7" s="7"/>
      <c r="AS7" s="7"/>
      <c r="AT7" s="10">
        <v>1020.04</v>
      </c>
      <c r="AU7" s="7"/>
      <c r="AV7" s="7"/>
      <c r="AW7" s="97" t="s">
        <v>1607</v>
      </c>
      <c r="AX7" s="7"/>
      <c r="AY7" s="7"/>
      <c r="AZ7" s="7"/>
      <c r="BA7" s="7"/>
      <c r="BB7" s="97" t="s">
        <v>1602</v>
      </c>
      <c r="BC7" s="7"/>
      <c r="BD7" s="7"/>
      <c r="BE7" s="7"/>
      <c r="BF7" s="100" t="s">
        <v>1597</v>
      </c>
      <c r="BG7" s="7"/>
      <c r="BH7" s="7"/>
      <c r="BI7" s="7"/>
      <c r="BJ7" s="100" t="s">
        <v>1592</v>
      </c>
      <c r="BK7" s="7"/>
      <c r="BL7" s="7"/>
      <c r="BM7" s="7"/>
      <c r="BN7" s="7"/>
      <c r="BO7" s="7"/>
      <c r="BP7" s="7"/>
      <c r="BQ7" s="7"/>
      <c r="BR7" s="7"/>
      <c r="BS7" s="7"/>
      <c r="BT7" s="103">
        <v>1000</v>
      </c>
      <c r="BU7" s="7"/>
      <c r="BV7" s="7"/>
      <c r="BW7" s="7"/>
      <c r="BX7" s="97" t="s">
        <v>1033</v>
      </c>
      <c r="BY7" s="7"/>
      <c r="BZ7" s="7"/>
      <c r="CA7" s="7"/>
      <c r="CB7" s="97" t="s">
        <v>1028</v>
      </c>
      <c r="CC7" s="7"/>
      <c r="CD7" s="7"/>
      <c r="CE7" s="7"/>
      <c r="CF7" s="100" t="s">
        <v>1023</v>
      </c>
      <c r="CG7" s="7"/>
      <c r="CH7" s="7"/>
      <c r="CI7" s="7"/>
      <c r="CJ7" s="100" t="s">
        <v>1014</v>
      </c>
      <c r="CK7" s="7"/>
      <c r="CL7" s="7"/>
      <c r="CM7" s="7"/>
      <c r="CN7" s="7"/>
      <c r="CO7" s="7"/>
      <c r="CP7" s="119" t="s">
        <v>2415</v>
      </c>
      <c r="CQ7" s="120"/>
      <c r="CR7" s="120"/>
      <c r="CS7" s="121"/>
      <c r="CT7" s="7"/>
      <c r="CU7" s="7"/>
      <c r="CV7" s="7"/>
      <c r="CW7" s="7"/>
      <c r="CX7" s="7"/>
      <c r="CY7" s="55">
        <v>204.12</v>
      </c>
      <c r="CZ7" s="55">
        <v>204.16</v>
      </c>
      <c r="DA7" s="77">
        <v>204.22</v>
      </c>
      <c r="DB7" s="116"/>
      <c r="DC7" s="13">
        <v>204.23</v>
      </c>
      <c r="DD7" s="13">
        <v>204.24</v>
      </c>
      <c r="DE7" s="3">
        <v>204.25</v>
      </c>
      <c r="DF7" s="13">
        <v>204.26</v>
      </c>
      <c r="DG7" s="94">
        <v>204.27</v>
      </c>
      <c r="DH7" s="109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110">
        <v>310</v>
      </c>
      <c r="EP7" s="90">
        <v>314</v>
      </c>
      <c r="EQ7" s="91"/>
      <c r="ER7" s="24"/>
    </row>
    <row r="8" spans="1:148" ht="21.75" thickBot="1" x14ac:dyDescent="0.3">
      <c r="A8" s="26"/>
      <c r="B8" s="40" t="s">
        <v>2571</v>
      </c>
      <c r="C8" s="41" t="str" cm="1">
        <f t="array" ref="C8">_xlfn.XLOOKUP(C7 &amp; "",tblConveyors[section_alias] &amp; "",tblConveyors[control_panel] &amp; "")</f>
        <v/>
      </c>
      <c r="D8" s="27"/>
      <c r="E8" s="53"/>
      <c r="F8" s="142"/>
      <c r="G8" s="7"/>
      <c r="H8" s="7"/>
      <c r="I8" s="130" t="s">
        <v>1921</v>
      </c>
      <c r="J8" s="131"/>
      <c r="K8" s="131"/>
      <c r="L8" s="131"/>
      <c r="M8" s="132"/>
      <c r="O8" s="123"/>
      <c r="P8" s="58"/>
      <c r="Q8" s="7"/>
      <c r="R8" s="7"/>
      <c r="S8" s="7"/>
      <c r="T8" s="7"/>
      <c r="U8" s="7"/>
      <c r="V8" s="7"/>
      <c r="W8" s="7"/>
      <c r="X8" s="9">
        <v>1030.03</v>
      </c>
      <c r="Y8" s="7"/>
      <c r="Z8" s="7"/>
      <c r="AA8" s="98"/>
      <c r="AB8" s="7"/>
      <c r="AC8" s="7"/>
      <c r="AD8" s="98"/>
      <c r="AE8" s="7"/>
      <c r="AF8" s="7"/>
      <c r="AG8" s="98"/>
      <c r="AH8" s="7"/>
      <c r="AI8" s="7"/>
      <c r="AJ8" s="98"/>
      <c r="AK8" s="7"/>
      <c r="AL8" s="7"/>
      <c r="AM8" s="7"/>
      <c r="AN8" s="7"/>
      <c r="AO8" s="7"/>
      <c r="AP8" s="7"/>
      <c r="AQ8" s="7"/>
      <c r="AR8" s="7"/>
      <c r="AS8" s="7"/>
      <c r="AT8" s="9">
        <v>1020.03</v>
      </c>
      <c r="AU8" s="7"/>
      <c r="AV8" s="7"/>
      <c r="AW8" s="98"/>
      <c r="AX8" s="7"/>
      <c r="AY8" s="7"/>
      <c r="AZ8" s="7"/>
      <c r="BA8" s="7"/>
      <c r="BB8" s="98"/>
      <c r="BC8" s="7"/>
      <c r="BD8" s="7"/>
      <c r="BE8" s="7"/>
      <c r="BF8" s="101"/>
      <c r="BG8" s="7"/>
      <c r="BH8" s="7"/>
      <c r="BI8" s="7"/>
      <c r="BJ8" s="101"/>
      <c r="BK8" s="7"/>
      <c r="BL8" s="7"/>
      <c r="BM8" s="7"/>
      <c r="BN8" s="7"/>
      <c r="BO8" s="7"/>
      <c r="BP8" s="7"/>
      <c r="BQ8" s="7"/>
      <c r="BR8" s="7"/>
      <c r="BS8" s="7"/>
      <c r="BT8" s="104"/>
      <c r="BU8" s="7"/>
      <c r="BV8" s="7"/>
      <c r="BW8" s="7"/>
      <c r="BX8" s="98"/>
      <c r="BY8" s="7"/>
      <c r="BZ8" s="7"/>
      <c r="CA8" s="7"/>
      <c r="CB8" s="98"/>
      <c r="CC8" s="7"/>
      <c r="CD8" s="7"/>
      <c r="CE8" s="7"/>
      <c r="CF8" s="101"/>
      <c r="CG8" s="7"/>
      <c r="CH8" s="7"/>
      <c r="CI8" s="7"/>
      <c r="CJ8" s="101"/>
      <c r="CK8" s="7"/>
      <c r="CL8" s="7"/>
      <c r="CM8" s="7"/>
      <c r="CN8" s="7"/>
      <c r="CO8" s="7"/>
      <c r="CP8" s="7"/>
      <c r="CQ8" s="7"/>
      <c r="CR8" s="7"/>
      <c r="CS8" s="122" t="s">
        <v>2462</v>
      </c>
      <c r="CT8" s="7"/>
      <c r="CU8" s="7"/>
      <c r="CW8" s="7"/>
      <c r="CX8" s="7"/>
      <c r="CY8" s="13">
        <v>204.11</v>
      </c>
      <c r="CZ8" s="13">
        <v>204.15</v>
      </c>
      <c r="DA8" s="13">
        <v>204.21</v>
      </c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111"/>
      <c r="EP8" s="7"/>
      <c r="EQ8" s="7"/>
      <c r="ER8" s="24"/>
    </row>
    <row r="9" spans="1:148" ht="15.75" thickBot="1" x14ac:dyDescent="0.3">
      <c r="A9" s="26"/>
      <c r="B9" s="42" t="s">
        <v>2572</v>
      </c>
      <c r="C9" s="41" t="str" cm="1">
        <f t="array" ref="C9">_xlfn.XLOOKUP(C7 &amp; "",tblConveyors[section_alias] &amp; "",tblConveyors[incident_energy] &amp; "")</f>
        <v/>
      </c>
      <c r="D9" s="27"/>
      <c r="E9" s="53"/>
      <c r="F9" s="143"/>
      <c r="G9" s="7"/>
      <c r="H9" s="7"/>
      <c r="I9" s="7"/>
      <c r="J9" s="7"/>
      <c r="K9" s="7"/>
      <c r="L9" s="7"/>
      <c r="M9" s="7"/>
      <c r="N9" s="7"/>
      <c r="O9" s="151"/>
      <c r="P9" s="152" t="s">
        <v>2420</v>
      </c>
      <c r="Q9" s="153"/>
      <c r="R9" s="154"/>
      <c r="S9" s="58"/>
      <c r="T9" s="7"/>
      <c r="U9" s="7"/>
      <c r="V9" s="7"/>
      <c r="W9" s="7"/>
      <c r="X9" s="9">
        <v>1030.02</v>
      </c>
      <c r="Y9" s="7"/>
      <c r="Z9" s="7"/>
      <c r="AA9" s="98"/>
      <c r="AB9" s="7"/>
      <c r="AC9" s="7"/>
      <c r="AD9" s="98"/>
      <c r="AE9" s="7"/>
      <c r="AF9" s="7"/>
      <c r="AG9" s="98"/>
      <c r="AH9" s="7"/>
      <c r="AI9" s="7"/>
      <c r="AJ9" s="98"/>
      <c r="AK9" s="7"/>
      <c r="AL9" s="7"/>
      <c r="AM9" s="7"/>
      <c r="AN9" s="7"/>
      <c r="AO9" s="7"/>
      <c r="AP9" s="7"/>
      <c r="AQ9" s="7"/>
      <c r="AR9" s="7"/>
      <c r="AS9" s="7"/>
      <c r="AT9" s="9">
        <v>1020.02</v>
      </c>
      <c r="AU9" s="7"/>
      <c r="AV9" s="7"/>
      <c r="AW9" s="98"/>
      <c r="AX9" s="7"/>
      <c r="AY9" s="7"/>
      <c r="AZ9" s="7"/>
      <c r="BA9" s="7"/>
      <c r="BB9" s="98"/>
      <c r="BC9" s="7"/>
      <c r="BD9" s="7"/>
      <c r="BE9" s="7"/>
      <c r="BF9" s="101"/>
      <c r="BG9" s="7"/>
      <c r="BH9" s="7"/>
      <c r="BI9" s="7"/>
      <c r="BJ9" s="101"/>
      <c r="BK9" s="7"/>
      <c r="BL9" s="7"/>
      <c r="BM9" s="7"/>
      <c r="BN9" s="7"/>
      <c r="BO9" s="7"/>
      <c r="BP9" s="7"/>
      <c r="BQ9" s="7"/>
      <c r="BR9" s="7"/>
      <c r="BS9" s="7"/>
      <c r="BT9" s="104"/>
      <c r="BU9" s="7"/>
      <c r="BV9" s="7"/>
      <c r="BW9" s="7"/>
      <c r="BX9" s="98"/>
      <c r="BY9" s="7"/>
      <c r="BZ9" s="7"/>
      <c r="CA9" s="7"/>
      <c r="CB9" s="98"/>
      <c r="CC9" s="7"/>
      <c r="CD9" s="7"/>
      <c r="CE9" s="7"/>
      <c r="CF9" s="101"/>
      <c r="CG9" s="7"/>
      <c r="CH9" s="7"/>
      <c r="CI9" s="7"/>
      <c r="CJ9" s="101"/>
      <c r="CK9" s="7"/>
      <c r="CL9" s="7"/>
      <c r="CM9" s="7"/>
      <c r="CN9" s="7"/>
      <c r="CO9" s="124" t="s">
        <v>2437</v>
      </c>
      <c r="CP9" s="125"/>
      <c r="CQ9" s="126"/>
      <c r="CR9" s="122" t="s">
        <v>2472</v>
      </c>
      <c r="CS9" s="123"/>
      <c r="CT9" s="7"/>
      <c r="CU9" s="7"/>
      <c r="CV9" s="7"/>
      <c r="CW9" s="7"/>
      <c r="CX9" s="7"/>
      <c r="CY9" s="13" t="s">
        <v>91</v>
      </c>
      <c r="CZ9" s="13">
        <v>204.14</v>
      </c>
      <c r="DA9" s="13" t="s">
        <v>142</v>
      </c>
      <c r="DB9" s="7"/>
      <c r="DC9" s="94" t="s">
        <v>363</v>
      </c>
      <c r="DD9" s="109"/>
      <c r="DE9" s="77">
        <v>220</v>
      </c>
      <c r="DF9" s="78"/>
      <c r="DG9" s="78"/>
      <c r="DH9" s="78"/>
      <c r="DI9" s="78"/>
      <c r="DJ9" s="78"/>
      <c r="DK9" s="78"/>
      <c r="DL9" s="117"/>
      <c r="DM9" s="78"/>
      <c r="DN9" s="78"/>
      <c r="DO9" s="117"/>
      <c r="DP9" s="118"/>
      <c r="DQ9" s="13">
        <v>222.01</v>
      </c>
      <c r="DR9" s="13">
        <v>222.02</v>
      </c>
      <c r="DS9" s="13">
        <v>222.03</v>
      </c>
      <c r="DT9" s="13">
        <v>222.04</v>
      </c>
      <c r="DU9" s="7"/>
      <c r="DV9" s="7"/>
      <c r="DW9" s="92">
        <v>308</v>
      </c>
      <c r="DX9" s="106"/>
      <c r="DY9" s="106"/>
      <c r="DZ9" s="106"/>
      <c r="EA9" s="106"/>
      <c r="EB9" s="106"/>
      <c r="EC9" s="106"/>
      <c r="ED9" s="106"/>
      <c r="EE9" s="106"/>
      <c r="EF9" s="106"/>
      <c r="EG9" s="106"/>
      <c r="EH9" s="106"/>
      <c r="EI9" s="106"/>
      <c r="EJ9" s="106"/>
      <c r="EK9" s="106"/>
      <c r="EL9" s="106"/>
      <c r="EM9" s="106"/>
      <c r="EN9" s="93"/>
      <c r="EO9" s="111"/>
      <c r="EP9" s="7"/>
      <c r="EQ9" s="7"/>
      <c r="ER9" s="24"/>
    </row>
    <row r="10" spans="1:148" ht="15.75" thickBot="1" x14ac:dyDescent="0.3">
      <c r="A10" s="26"/>
      <c r="B10" s="28" t="s">
        <v>2573</v>
      </c>
      <c r="C10" s="36" t="str" cm="1">
        <f t="array" ref="C10">_xlfn.XLOOKUP(C7 &amp; "",tblConveyors[section_alias] &amp; "",tblConveyors[cp_location] &amp; "")</f>
        <v/>
      </c>
      <c r="D10" s="29"/>
      <c r="E10" s="53"/>
      <c r="F10" s="149">
        <v>1058</v>
      </c>
      <c r="G10" s="11" t="s">
        <v>2315</v>
      </c>
      <c r="H10" s="7"/>
      <c r="I10" s="7"/>
      <c r="J10" s="7"/>
      <c r="K10" s="7"/>
      <c r="L10" s="7"/>
      <c r="M10" s="7"/>
      <c r="N10" s="7"/>
      <c r="O10" s="7"/>
      <c r="P10" s="65"/>
      <c r="Q10" s="66"/>
      <c r="R10" s="88" t="s">
        <v>2420</v>
      </c>
      <c r="S10" s="7"/>
      <c r="T10" s="7"/>
      <c r="U10" s="7"/>
      <c r="V10" s="7"/>
      <c r="W10" s="7"/>
      <c r="X10" s="9">
        <v>1030.01</v>
      </c>
      <c r="Y10" s="7"/>
      <c r="Z10" s="7"/>
      <c r="AA10" s="99"/>
      <c r="AB10" s="7"/>
      <c r="AC10" s="7"/>
      <c r="AD10" s="99"/>
      <c r="AE10" s="7"/>
      <c r="AF10" s="7"/>
      <c r="AG10" s="99"/>
      <c r="AH10" s="7"/>
      <c r="AI10" s="7"/>
      <c r="AJ10" s="99"/>
      <c r="AK10" s="7"/>
      <c r="AL10" s="7"/>
      <c r="AM10" s="7"/>
      <c r="AN10" s="7"/>
      <c r="AO10" s="7"/>
      <c r="AP10" s="7"/>
      <c r="AQ10" s="7"/>
      <c r="AR10" s="7"/>
      <c r="AS10" s="7"/>
      <c r="AT10" s="9">
        <v>1020.01</v>
      </c>
      <c r="AU10" s="7"/>
      <c r="AV10" s="7"/>
      <c r="AW10" s="99"/>
      <c r="AX10" s="7"/>
      <c r="AY10" s="7"/>
      <c r="AZ10" s="7"/>
      <c r="BA10" s="7"/>
      <c r="BB10" s="99"/>
      <c r="BC10" s="7"/>
      <c r="BD10" s="7"/>
      <c r="BE10" s="7"/>
      <c r="BF10" s="102"/>
      <c r="BG10" s="7"/>
      <c r="BH10" s="7"/>
      <c r="BI10" s="7"/>
      <c r="BJ10" s="102"/>
      <c r="BK10" s="7"/>
      <c r="BL10" s="7"/>
      <c r="BM10" s="7"/>
      <c r="BN10" s="7"/>
      <c r="BO10" s="7"/>
      <c r="BP10" s="7"/>
      <c r="BQ10" s="7"/>
      <c r="BR10" s="7"/>
      <c r="BS10" s="7"/>
      <c r="BT10" s="105"/>
      <c r="BU10" s="7"/>
      <c r="BV10" s="7"/>
      <c r="BW10" s="7"/>
      <c r="BX10" s="99"/>
      <c r="BY10" s="7"/>
      <c r="BZ10" s="7"/>
      <c r="CA10" s="7"/>
      <c r="CB10" s="99"/>
      <c r="CC10" s="7"/>
      <c r="CD10" s="7"/>
      <c r="CE10" s="7"/>
      <c r="CF10" s="102"/>
      <c r="CG10" s="7"/>
      <c r="CH10" s="7"/>
      <c r="CI10" s="7"/>
      <c r="CJ10" s="102"/>
      <c r="CK10" s="7"/>
      <c r="CL10" s="7"/>
      <c r="CM10" s="7"/>
      <c r="CN10" s="7"/>
      <c r="CO10" s="7"/>
      <c r="CP10" s="7"/>
      <c r="CQ10" s="7"/>
      <c r="CR10" s="123"/>
      <c r="CS10" s="123"/>
      <c r="CT10" s="7"/>
      <c r="CU10" s="7"/>
      <c r="CV10" s="7"/>
      <c r="CW10" s="7"/>
      <c r="CX10" s="7"/>
      <c r="CY10" s="13">
        <v>204.09</v>
      </c>
      <c r="CZ10" s="13">
        <v>204.13</v>
      </c>
      <c r="DA10" s="13">
        <v>204.19</v>
      </c>
      <c r="DB10" s="7"/>
      <c r="DC10" s="13">
        <v>216</v>
      </c>
      <c r="DD10" s="7"/>
      <c r="DE10" s="13">
        <v>226</v>
      </c>
      <c r="DF10" s="7"/>
      <c r="DG10" s="7"/>
      <c r="DH10" s="7"/>
      <c r="DI10" s="7"/>
      <c r="DJ10" s="7"/>
      <c r="DK10" s="7"/>
      <c r="DL10" s="13" t="s">
        <v>419</v>
      </c>
      <c r="DM10" s="7"/>
      <c r="DN10" s="7"/>
      <c r="DO10" s="13" t="s">
        <v>425</v>
      </c>
      <c r="DP10" s="13" t="s">
        <v>2574</v>
      </c>
      <c r="DQ10" s="7"/>
      <c r="DR10" s="7"/>
      <c r="DS10" s="7"/>
      <c r="DT10" s="13">
        <v>222.05</v>
      </c>
      <c r="DU10" s="7"/>
      <c r="DV10" s="7"/>
      <c r="DW10" s="113">
        <v>300</v>
      </c>
      <c r="DX10" s="7"/>
      <c r="DY10" s="7"/>
      <c r="DZ10" s="7"/>
      <c r="EA10" s="7"/>
      <c r="EB10" s="7"/>
      <c r="EC10" s="7"/>
      <c r="ED10" s="113">
        <v>302</v>
      </c>
      <c r="EE10" s="7"/>
      <c r="EF10" s="7"/>
      <c r="EG10" s="113">
        <v>304</v>
      </c>
      <c r="EH10" s="113">
        <v>305</v>
      </c>
      <c r="EI10" s="7"/>
      <c r="EJ10" s="7"/>
      <c r="EK10" s="7"/>
      <c r="EL10" s="113">
        <v>306</v>
      </c>
      <c r="EM10" s="7"/>
      <c r="EN10" s="7"/>
      <c r="EO10" s="111"/>
      <c r="EP10" s="7"/>
      <c r="EQ10" s="7"/>
      <c r="ER10" s="24"/>
    </row>
    <row r="11" spans="1:148" ht="15.75" thickBot="1" x14ac:dyDescent="0.3">
      <c r="A11" s="29"/>
      <c r="B11" s="28" t="s">
        <v>2575</v>
      </c>
      <c r="C11" s="36" t="str" cm="1">
        <f t="array" ref="C11">_xlfn.XLOOKUP(C7 &amp; "",tblConveyors[section_alias] &amp; "",tblConveyors[mcp] &amp; "")</f>
        <v/>
      </c>
      <c r="D11" s="27"/>
      <c r="E11" s="53"/>
      <c r="F11" s="150"/>
      <c r="G11" s="12" t="s">
        <v>2315</v>
      </c>
      <c r="H11" s="2" t="s">
        <v>2315</v>
      </c>
      <c r="I11" s="128" t="s">
        <v>2339</v>
      </c>
      <c r="J11" s="78"/>
      <c r="K11" s="78"/>
      <c r="L11" s="78"/>
      <c r="M11" s="78"/>
      <c r="N11" s="78"/>
      <c r="O11" s="78"/>
      <c r="P11" s="78"/>
      <c r="Q11" s="13" t="s">
        <v>2363</v>
      </c>
      <c r="R11" s="89"/>
      <c r="S11" s="7"/>
      <c r="T11" s="7"/>
      <c r="U11" s="7"/>
      <c r="V11" s="7"/>
      <c r="W11" s="7"/>
      <c r="X11" s="11">
        <v>661</v>
      </c>
      <c r="Y11" s="7"/>
      <c r="Z11" s="7"/>
      <c r="AA11" s="11" t="s">
        <v>1889</v>
      </c>
      <c r="AB11" s="7"/>
      <c r="AC11" s="7"/>
      <c r="AD11" s="11" t="s">
        <v>1883</v>
      </c>
      <c r="AE11" s="7"/>
      <c r="AF11" s="7"/>
      <c r="AG11" s="11" t="s">
        <v>1877</v>
      </c>
      <c r="AH11" s="7"/>
      <c r="AI11" s="7"/>
      <c r="AJ11" s="11" t="s">
        <v>1871</v>
      </c>
      <c r="AK11" s="7"/>
      <c r="AL11" s="7"/>
      <c r="AM11" s="7"/>
      <c r="AN11" s="7"/>
      <c r="AO11" s="7"/>
      <c r="AP11" s="7"/>
      <c r="AQ11" s="7"/>
      <c r="AR11" s="7"/>
      <c r="AS11" s="7"/>
      <c r="AT11" s="11" t="s">
        <v>1586</v>
      </c>
      <c r="AU11" s="7"/>
      <c r="AV11" s="7"/>
      <c r="AW11" s="11" t="s">
        <v>1580</v>
      </c>
      <c r="AX11" s="14"/>
      <c r="AY11" s="7"/>
      <c r="AZ11" s="7"/>
      <c r="BA11" s="7"/>
      <c r="BB11" s="11" t="s">
        <v>1574</v>
      </c>
      <c r="BC11" s="7"/>
      <c r="BD11" s="7"/>
      <c r="BE11" s="7"/>
      <c r="BF11" s="11" t="s">
        <v>1569</v>
      </c>
      <c r="BG11" s="7"/>
      <c r="BH11" s="7"/>
      <c r="BI11" s="7"/>
      <c r="BJ11" s="11" t="s">
        <v>1563</v>
      </c>
      <c r="BK11" s="7"/>
      <c r="BL11" s="7"/>
      <c r="BM11" s="7"/>
      <c r="BN11" s="7"/>
      <c r="BO11" s="7"/>
      <c r="BP11" s="7"/>
      <c r="BQ11" s="7"/>
      <c r="BR11" s="7"/>
      <c r="BS11" s="7"/>
      <c r="BT11" s="11" t="s">
        <v>1008</v>
      </c>
      <c r="BU11" s="7"/>
      <c r="BV11" s="7"/>
      <c r="BW11" s="7"/>
      <c r="BX11" s="11" t="s">
        <v>1002</v>
      </c>
      <c r="BY11" s="7"/>
      <c r="BZ11" s="7"/>
      <c r="CA11" s="7"/>
      <c r="CB11" s="11" t="s">
        <v>996</v>
      </c>
      <c r="CC11" s="7"/>
      <c r="CD11" s="7"/>
      <c r="CE11" s="7"/>
      <c r="CF11" s="11" t="s">
        <v>990</v>
      </c>
      <c r="CG11" s="7"/>
      <c r="CH11" s="7"/>
      <c r="CI11" s="7"/>
      <c r="CJ11" s="11" t="s">
        <v>984</v>
      </c>
      <c r="CK11" s="7"/>
      <c r="CL11" s="7"/>
      <c r="CM11" s="7"/>
      <c r="CN11" s="7"/>
      <c r="CO11" s="7"/>
      <c r="CP11" s="7"/>
      <c r="CQ11" s="7"/>
      <c r="CR11" s="123"/>
      <c r="CS11" s="123"/>
      <c r="CT11" s="7"/>
      <c r="CU11" s="7"/>
      <c r="CV11" s="7"/>
      <c r="CW11" s="7"/>
      <c r="CX11" s="7"/>
      <c r="CY11" s="13">
        <v>204.08</v>
      </c>
      <c r="CZ11" s="82">
        <v>204.05</v>
      </c>
      <c r="DA11" s="13">
        <v>204.18</v>
      </c>
      <c r="DB11" s="7"/>
      <c r="DC11" s="13">
        <v>214</v>
      </c>
      <c r="DD11" s="7"/>
      <c r="DE11" s="79">
        <v>228</v>
      </c>
      <c r="DF11" s="7"/>
      <c r="DG11" s="7"/>
      <c r="DH11" s="7"/>
      <c r="DI11" s="7"/>
      <c r="DJ11" s="7"/>
      <c r="DK11" s="7"/>
      <c r="DL11" s="79" t="s">
        <v>443</v>
      </c>
      <c r="DM11" s="7"/>
      <c r="DN11" s="7"/>
      <c r="DO11" s="79" t="s">
        <v>449</v>
      </c>
      <c r="DP11" s="79" t="s">
        <v>455</v>
      </c>
      <c r="DQ11" s="7"/>
      <c r="DR11" s="7"/>
      <c r="DS11" s="7"/>
      <c r="DT11" s="79">
        <v>224</v>
      </c>
      <c r="DU11" s="7"/>
      <c r="DV11" s="7"/>
      <c r="DW11" s="114"/>
      <c r="DX11" s="7"/>
      <c r="DY11" s="7"/>
      <c r="DZ11" s="7"/>
      <c r="EA11" s="7"/>
      <c r="EB11" s="7"/>
      <c r="EC11" s="7"/>
      <c r="ED11" s="114"/>
      <c r="EE11" s="7"/>
      <c r="EF11" s="7"/>
      <c r="EG11" s="114"/>
      <c r="EH11" s="114"/>
      <c r="EI11" s="7"/>
      <c r="EJ11" s="7"/>
      <c r="EK11" s="7"/>
      <c r="EL11" s="114"/>
      <c r="EM11" s="7"/>
      <c r="EN11" s="7"/>
      <c r="EO11" s="112"/>
      <c r="EP11" s="92">
        <v>312</v>
      </c>
      <c r="EQ11" s="93"/>
      <c r="ER11" s="24"/>
    </row>
    <row r="12" spans="1:148" ht="25.5" customHeight="1" thickBot="1" x14ac:dyDescent="0.3">
      <c r="A12" s="29"/>
      <c r="B12" s="30" t="s">
        <v>2576</v>
      </c>
      <c r="C12" s="36" t="str" cm="1">
        <f t="array" ref="C12">_xlfn.XLOOKUP(C7 &amp; "",tblConveyors[section_alias] &amp; "",tblConveyors[conveyance_group] &amp; "")</f>
        <v>CBC</v>
      </c>
      <c r="D12" s="29"/>
      <c r="E12" s="53"/>
      <c r="F12" s="142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12">
        <v>661</v>
      </c>
      <c r="Y12" s="2">
        <v>661</v>
      </c>
      <c r="Z12" s="7"/>
      <c r="AA12" s="12" t="s">
        <v>1889</v>
      </c>
      <c r="AB12" s="2" t="s">
        <v>1889</v>
      </c>
      <c r="AC12" s="7"/>
      <c r="AD12" s="12" t="s">
        <v>1883</v>
      </c>
      <c r="AE12" s="2" t="s">
        <v>1883</v>
      </c>
      <c r="AF12" s="7"/>
      <c r="AG12" s="12" t="s">
        <v>1877</v>
      </c>
      <c r="AH12" s="2" t="s">
        <v>1877</v>
      </c>
      <c r="AI12" s="7"/>
      <c r="AJ12" s="12" t="s">
        <v>1871</v>
      </c>
      <c r="AK12" s="2" t="s">
        <v>1871</v>
      </c>
      <c r="AL12" s="7"/>
      <c r="AM12" s="7"/>
      <c r="AN12" s="7"/>
      <c r="AO12" s="7"/>
      <c r="AP12" s="7"/>
      <c r="AQ12" s="7"/>
      <c r="AR12" s="7"/>
      <c r="AS12" s="7"/>
      <c r="AT12" s="12" t="s">
        <v>1586</v>
      </c>
      <c r="AU12" s="2" t="s">
        <v>1586</v>
      </c>
      <c r="AV12" s="14"/>
      <c r="AW12" s="12" t="s">
        <v>1580</v>
      </c>
      <c r="AX12" s="15" t="s">
        <v>1580</v>
      </c>
      <c r="AY12" s="7"/>
      <c r="AZ12" s="7"/>
      <c r="BA12" s="7"/>
      <c r="BB12" s="12" t="s">
        <v>1574</v>
      </c>
      <c r="BC12" s="2" t="s">
        <v>1574</v>
      </c>
      <c r="BD12" s="7"/>
      <c r="BE12" s="7"/>
      <c r="BF12" s="12" t="s">
        <v>1569</v>
      </c>
      <c r="BG12" s="2" t="s">
        <v>1569</v>
      </c>
      <c r="BH12" s="7"/>
      <c r="BI12" s="7"/>
      <c r="BJ12" s="12" t="s">
        <v>1563</v>
      </c>
      <c r="BK12" s="2" t="s">
        <v>1563</v>
      </c>
      <c r="BL12" s="7"/>
      <c r="BM12" s="7"/>
      <c r="BN12" s="7"/>
      <c r="BO12" s="7"/>
      <c r="BP12" s="7"/>
      <c r="BQ12" s="7"/>
      <c r="BR12" s="7"/>
      <c r="BS12" s="7"/>
      <c r="BT12" s="12" t="s">
        <v>1008</v>
      </c>
      <c r="BU12" s="16" t="s">
        <v>1008</v>
      </c>
      <c r="BV12" s="7"/>
      <c r="BW12" s="7"/>
      <c r="BX12" s="12" t="s">
        <v>1002</v>
      </c>
      <c r="BY12" s="2" t="s">
        <v>1002</v>
      </c>
      <c r="BZ12" s="7"/>
      <c r="CA12" s="7"/>
      <c r="CB12" s="12" t="s">
        <v>996</v>
      </c>
      <c r="CC12" s="2" t="s">
        <v>996</v>
      </c>
      <c r="CD12" s="7"/>
      <c r="CE12" s="7"/>
      <c r="CF12" s="12" t="s">
        <v>990</v>
      </c>
      <c r="CG12" s="2" t="s">
        <v>990</v>
      </c>
      <c r="CH12" s="7"/>
      <c r="CI12" s="7"/>
      <c r="CJ12" s="12" t="s">
        <v>984</v>
      </c>
      <c r="CK12" s="2" t="s">
        <v>984</v>
      </c>
      <c r="CL12" s="7"/>
      <c r="CM12" s="7"/>
      <c r="CN12" s="7"/>
      <c r="CO12" s="50"/>
      <c r="CP12" s="50"/>
      <c r="CQ12" s="50"/>
      <c r="CR12" s="123"/>
      <c r="CS12" s="123"/>
      <c r="CT12" s="7"/>
      <c r="CU12" s="7"/>
      <c r="CV12" s="7"/>
      <c r="CW12" s="7"/>
      <c r="CX12" s="7"/>
      <c r="CY12" s="13">
        <v>204.07</v>
      </c>
      <c r="CZ12" s="83"/>
      <c r="DA12" s="13">
        <v>204.17</v>
      </c>
      <c r="DB12" s="7"/>
      <c r="DC12" s="13">
        <v>212.13</v>
      </c>
      <c r="DD12" s="7"/>
      <c r="DE12" s="80"/>
      <c r="DF12" s="7"/>
      <c r="DG12" s="7"/>
      <c r="DH12" s="7"/>
      <c r="DI12" s="7"/>
      <c r="DJ12" s="7"/>
      <c r="DK12" s="7"/>
      <c r="DL12" s="80"/>
      <c r="DM12" s="7"/>
      <c r="DN12" s="7"/>
      <c r="DO12" s="80"/>
      <c r="DP12" s="80"/>
      <c r="DQ12" s="7"/>
      <c r="DR12" s="7"/>
      <c r="DS12" s="7"/>
      <c r="DT12" s="80"/>
      <c r="DU12" s="7"/>
      <c r="DV12" s="7"/>
      <c r="DW12" s="114"/>
      <c r="DX12" s="7"/>
      <c r="DY12" s="7"/>
      <c r="DZ12" s="7"/>
      <c r="EA12" s="7"/>
      <c r="EB12" s="7"/>
      <c r="EC12" s="7"/>
      <c r="ED12" s="114"/>
      <c r="EE12" s="7"/>
      <c r="EF12" s="7"/>
      <c r="EG12" s="114"/>
      <c r="EH12" s="114"/>
      <c r="EI12" s="7"/>
      <c r="EJ12" s="7"/>
      <c r="EK12" s="7"/>
      <c r="EL12" s="114"/>
      <c r="EM12" s="7"/>
      <c r="EN12" s="7"/>
      <c r="EO12" s="7"/>
      <c r="EP12" s="7"/>
      <c r="EQ12" s="7"/>
    </row>
    <row r="13" spans="1:148" ht="16.5" thickTop="1" thickBot="1" x14ac:dyDescent="0.3">
      <c r="A13" s="26"/>
      <c r="B13" s="31"/>
      <c r="C13" s="32"/>
      <c r="D13" s="27"/>
      <c r="E13" s="53"/>
      <c r="F13" s="142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82">
        <v>648.02</v>
      </c>
      <c r="V13" s="13">
        <v>648.01</v>
      </c>
      <c r="W13" s="94">
        <v>656</v>
      </c>
      <c r="X13" s="95"/>
      <c r="Y13" s="95"/>
      <c r="Z13" s="95"/>
      <c r="AA13" s="95"/>
      <c r="AB13" s="95"/>
      <c r="AC13" s="95"/>
      <c r="AD13" s="109"/>
      <c r="AE13" s="94">
        <v>654</v>
      </c>
      <c r="AF13" s="95"/>
      <c r="AG13" s="95"/>
      <c r="AH13" s="95"/>
      <c r="AI13" s="95"/>
      <c r="AJ13" s="95"/>
      <c r="AK13" s="95"/>
      <c r="AL13" s="109"/>
      <c r="AM13" s="13">
        <v>653</v>
      </c>
      <c r="AN13" s="79">
        <v>652</v>
      </c>
      <c r="AO13" s="7"/>
      <c r="AP13" s="7"/>
      <c r="AQ13" s="82">
        <v>570.02</v>
      </c>
      <c r="AR13" s="13">
        <v>570.01</v>
      </c>
      <c r="AS13" s="77">
        <v>556</v>
      </c>
      <c r="AT13" s="78"/>
      <c r="AU13" s="78"/>
      <c r="AV13" s="78"/>
      <c r="AW13" s="78"/>
      <c r="AX13" s="78"/>
      <c r="AY13" s="78"/>
      <c r="AZ13" s="78"/>
      <c r="BA13" s="78"/>
      <c r="BB13" s="107"/>
      <c r="BC13" s="129"/>
      <c r="BD13" s="94">
        <v>554</v>
      </c>
      <c r="BE13" s="95"/>
      <c r="BF13" s="95"/>
      <c r="BG13" s="95"/>
      <c r="BH13" s="95"/>
      <c r="BI13" s="95"/>
      <c r="BJ13" s="95"/>
      <c r="BK13" s="95"/>
      <c r="BL13" s="109"/>
      <c r="BM13" s="13">
        <v>553</v>
      </c>
      <c r="BN13" s="79">
        <v>552</v>
      </c>
      <c r="BO13" s="7"/>
      <c r="BP13" s="7"/>
      <c r="BQ13" s="82">
        <v>470.02</v>
      </c>
      <c r="BR13" s="13">
        <v>470.01</v>
      </c>
      <c r="BS13" s="77">
        <v>456</v>
      </c>
      <c r="BT13" s="78"/>
      <c r="BU13" s="78"/>
      <c r="BV13" s="78"/>
      <c r="BW13" s="78"/>
      <c r="BX13" s="107"/>
      <c r="BY13" s="107"/>
      <c r="BZ13" s="78"/>
      <c r="CA13" s="78"/>
      <c r="CB13" s="107"/>
      <c r="CC13" s="108"/>
      <c r="CD13" s="94">
        <v>454</v>
      </c>
      <c r="CE13" s="95"/>
      <c r="CF13" s="96"/>
      <c r="CG13" s="96"/>
      <c r="CH13" s="95"/>
      <c r="CI13" s="95"/>
      <c r="CJ13" s="96"/>
      <c r="CK13" s="96"/>
      <c r="CL13" s="95"/>
      <c r="CM13" s="13">
        <v>453</v>
      </c>
      <c r="CN13" s="79">
        <v>452</v>
      </c>
      <c r="CO13" s="50"/>
      <c r="CP13" s="50"/>
      <c r="CQ13" s="50"/>
      <c r="CR13" s="123"/>
      <c r="CS13" s="123"/>
      <c r="CT13" s="7"/>
      <c r="CU13" s="7"/>
      <c r="CV13" s="7"/>
      <c r="CW13" s="7"/>
      <c r="CX13" s="7"/>
      <c r="CY13" s="11">
        <v>204.06</v>
      </c>
      <c r="CZ13" s="84"/>
      <c r="DA13" s="13">
        <v>204.04</v>
      </c>
      <c r="DB13" s="7"/>
      <c r="DC13" s="79">
        <v>212.12</v>
      </c>
      <c r="DD13" s="7"/>
      <c r="DE13" s="80"/>
      <c r="DF13" s="7"/>
      <c r="DG13" s="7"/>
      <c r="DH13" s="7"/>
      <c r="DI13" s="7"/>
      <c r="DJ13" s="7"/>
      <c r="DK13" s="7"/>
      <c r="DL13" s="80"/>
      <c r="DM13" s="7"/>
      <c r="DN13" s="7"/>
      <c r="DO13" s="80"/>
      <c r="DP13" s="80"/>
      <c r="DQ13" s="7"/>
      <c r="DR13" s="7"/>
      <c r="DS13" s="7"/>
      <c r="DT13" s="80"/>
      <c r="DU13" s="7"/>
      <c r="DV13" s="7"/>
      <c r="DW13" s="114"/>
      <c r="DX13" s="7"/>
      <c r="DY13" s="7"/>
      <c r="DZ13" s="7"/>
      <c r="EA13" s="7"/>
      <c r="EB13" s="7"/>
      <c r="EC13" s="7"/>
      <c r="ED13" s="114"/>
      <c r="EE13" s="7"/>
      <c r="EF13" s="7"/>
      <c r="EG13" s="114"/>
      <c r="EH13" s="114"/>
      <c r="EI13" s="7"/>
      <c r="EJ13" s="7"/>
      <c r="EK13" s="7"/>
      <c r="EL13" s="114"/>
      <c r="EM13" s="7"/>
      <c r="EN13" s="7"/>
      <c r="EO13" s="7"/>
      <c r="EP13" s="7"/>
      <c r="EQ13" s="7"/>
    </row>
    <row r="14" spans="1:148" ht="17.25" thickTop="1" thickBot="1" x14ac:dyDescent="0.3">
      <c r="A14" s="29"/>
      <c r="B14" s="73" t="s">
        <v>2577</v>
      </c>
      <c r="C14" s="74"/>
      <c r="D14" s="27"/>
      <c r="E14" s="53"/>
      <c r="F14" s="150"/>
      <c r="G14" s="11" t="s">
        <v>2321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84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80"/>
      <c r="AO14" s="7"/>
      <c r="AP14" s="7"/>
      <c r="AQ14" s="84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80"/>
      <c r="BO14" s="7"/>
      <c r="BP14" s="7"/>
      <c r="BQ14" s="84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80"/>
      <c r="CO14" s="50"/>
      <c r="CP14" s="50"/>
      <c r="CQ14" s="50"/>
      <c r="CR14" s="123"/>
      <c r="CS14" s="123"/>
      <c r="CT14" s="7"/>
      <c r="CU14" s="7"/>
      <c r="CV14" s="7"/>
      <c r="CW14" s="7"/>
      <c r="CX14" s="7"/>
      <c r="CY14" s="12">
        <v>204.06</v>
      </c>
      <c r="CZ14" s="2">
        <v>204.06</v>
      </c>
      <c r="DA14" s="13">
        <v>204.03</v>
      </c>
      <c r="DB14" s="7"/>
      <c r="DC14" s="80"/>
      <c r="DD14" s="7"/>
      <c r="DE14" s="80"/>
      <c r="DF14" s="7"/>
      <c r="DG14" s="7"/>
      <c r="DH14" s="7"/>
      <c r="DI14" s="7"/>
      <c r="DJ14" s="7"/>
      <c r="DK14" s="7"/>
      <c r="DL14" s="80"/>
      <c r="DM14" s="7"/>
      <c r="DN14" s="7"/>
      <c r="DO14" s="80"/>
      <c r="DP14" s="80"/>
      <c r="DQ14" s="7"/>
      <c r="DR14" s="7"/>
      <c r="DS14" s="7"/>
      <c r="DT14" s="80"/>
      <c r="DU14" s="7"/>
      <c r="DV14" s="7"/>
      <c r="DW14" s="114"/>
      <c r="DX14" s="7"/>
      <c r="DY14" s="7"/>
      <c r="DZ14" s="7"/>
      <c r="EA14" s="7"/>
      <c r="EB14" s="7"/>
      <c r="EC14" s="7"/>
      <c r="ED14" s="114"/>
      <c r="EE14" s="7"/>
      <c r="EF14" s="7"/>
      <c r="EG14" s="114"/>
      <c r="EH14" s="114"/>
      <c r="EI14" s="7"/>
      <c r="EJ14" s="7"/>
      <c r="EK14" s="7"/>
      <c r="EL14" s="114"/>
      <c r="EM14" s="7"/>
      <c r="EN14" s="7"/>
      <c r="EO14" s="7"/>
      <c r="EP14" s="7"/>
      <c r="EQ14" s="7"/>
    </row>
    <row r="15" spans="1:148" ht="22.5" thickTop="1" thickBot="1" x14ac:dyDescent="0.3">
      <c r="A15" s="29"/>
      <c r="B15" s="45" t="s">
        <v>2579</v>
      </c>
      <c r="C15" s="44" t="str" cm="1">
        <f t="array" ref="C15">_xlfn.XLOOKUP(C7 &amp; "",tblConveyors[section_alias] &amp; "",tblConveyors[Position] &amp; "")</f>
        <v>CONV.BE.2200EE24</v>
      </c>
      <c r="D15" s="27"/>
      <c r="E15" s="53"/>
      <c r="F15" s="150"/>
      <c r="G15" s="12" t="s">
        <v>2321</v>
      </c>
      <c r="H15" s="2" t="s">
        <v>2321</v>
      </c>
      <c r="I15" s="77" t="s">
        <v>2345</v>
      </c>
      <c r="J15" s="78"/>
      <c r="K15" s="78"/>
      <c r="L15" s="78"/>
      <c r="M15" s="78"/>
      <c r="N15" s="78"/>
      <c r="O15" s="78"/>
      <c r="P15" s="78"/>
      <c r="Q15" s="13" t="s">
        <v>2368</v>
      </c>
      <c r="R15" s="7"/>
      <c r="S15" s="7"/>
      <c r="T15" s="7"/>
      <c r="U15" s="13">
        <v>648.03</v>
      </c>
      <c r="V15" s="7"/>
      <c r="W15" s="7"/>
      <c r="X15" s="7"/>
      <c r="Y15" s="7"/>
      <c r="Z15" s="7"/>
      <c r="AA15" s="7"/>
      <c r="AB15" s="85" t="s">
        <v>1689</v>
      </c>
      <c r="AC15" s="86"/>
      <c r="AD15" s="86"/>
      <c r="AE15" s="86"/>
      <c r="AF15" s="87"/>
      <c r="AG15" s="7"/>
      <c r="AH15" s="7"/>
      <c r="AI15" s="7"/>
      <c r="AJ15" s="7"/>
      <c r="AK15" s="7"/>
      <c r="AL15" s="7"/>
      <c r="AM15" s="7"/>
      <c r="AN15" s="80"/>
      <c r="AO15" s="7"/>
      <c r="AP15" s="7"/>
      <c r="AQ15" s="13">
        <v>570.03</v>
      </c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85" t="s">
        <v>1115</v>
      </c>
      <c r="BC15" s="86"/>
      <c r="BD15" s="86"/>
      <c r="BE15" s="86"/>
      <c r="BF15" s="87"/>
      <c r="BG15" s="7"/>
      <c r="BH15" s="7"/>
      <c r="BI15" s="7"/>
      <c r="BJ15" s="7"/>
      <c r="BK15" s="7"/>
      <c r="BL15" s="7"/>
      <c r="BM15" s="7"/>
      <c r="BN15" s="80"/>
      <c r="BO15" s="7"/>
      <c r="BP15" s="7"/>
      <c r="BQ15" s="13">
        <v>470.03</v>
      </c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85" t="s">
        <v>523</v>
      </c>
      <c r="CC15" s="86"/>
      <c r="CD15" s="86"/>
      <c r="CE15" s="86"/>
      <c r="CF15" s="87"/>
      <c r="CG15" s="7"/>
      <c r="CH15" s="7"/>
      <c r="CI15" s="7"/>
      <c r="CJ15" s="7"/>
      <c r="CK15" s="7"/>
      <c r="CL15" s="7"/>
      <c r="CM15" s="7"/>
      <c r="CN15" s="80"/>
      <c r="CO15" s="50"/>
      <c r="CP15" s="50"/>
      <c r="CQ15" s="50"/>
      <c r="CR15" s="123"/>
      <c r="CS15" s="123"/>
      <c r="CT15" s="7"/>
      <c r="CU15" s="7"/>
      <c r="CV15" s="7"/>
      <c r="CW15" s="7"/>
      <c r="CX15" s="7"/>
      <c r="CY15" s="7"/>
      <c r="CZ15" s="7"/>
      <c r="DA15" s="13">
        <v>204.02</v>
      </c>
      <c r="DB15" s="7"/>
      <c r="DC15" s="80"/>
      <c r="DD15" s="7"/>
      <c r="DE15" s="80"/>
      <c r="DF15" s="7"/>
      <c r="DG15" s="7"/>
      <c r="DH15" s="7"/>
      <c r="DI15" s="7"/>
      <c r="DJ15" s="7"/>
      <c r="DK15" s="7"/>
      <c r="DL15" s="80"/>
      <c r="DM15" s="7"/>
      <c r="DN15" s="7"/>
      <c r="DO15" s="80"/>
      <c r="DP15" s="80"/>
      <c r="DQ15" s="7"/>
      <c r="DR15" s="7"/>
      <c r="DS15" s="7"/>
      <c r="DT15" s="80"/>
      <c r="DU15" s="7"/>
      <c r="DV15" s="7"/>
      <c r="DW15" s="114"/>
      <c r="DX15" s="7"/>
      <c r="DY15" s="7"/>
      <c r="DZ15" s="7"/>
      <c r="EA15" s="7"/>
      <c r="EB15" s="7"/>
      <c r="EC15" s="7"/>
      <c r="ED15" s="114"/>
      <c r="EE15" s="7"/>
      <c r="EF15" s="7"/>
      <c r="EG15" s="114"/>
      <c r="EH15" s="114"/>
      <c r="EI15" s="7"/>
      <c r="EJ15" s="7"/>
      <c r="EK15" s="7"/>
      <c r="EL15" s="114"/>
      <c r="EM15" s="7"/>
      <c r="EN15" s="7"/>
      <c r="EO15" s="7"/>
      <c r="EP15" s="7"/>
      <c r="EQ15" s="7"/>
      <c r="ER15" s="68" t="s">
        <v>2578</v>
      </c>
    </row>
    <row r="16" spans="1:148" ht="24" thickBot="1" x14ac:dyDescent="0.3">
      <c r="A16" s="29"/>
      <c r="B16" s="46" t="s">
        <v>7</v>
      </c>
      <c r="C16" s="49" t="str" cm="1">
        <f t="array" ref="C16">_xlfn.XLOOKUP(C7 &amp; "",tblConveyors[section_alias] &amp; "",tblConveyors[Description] &amp; "")</f>
        <v>GORBEL CBC AE-DT24081-H-I 2200EE24</v>
      </c>
      <c r="D16" s="27"/>
      <c r="E16" s="53"/>
      <c r="F16" s="142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82">
        <v>648.04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80"/>
      <c r="AO16" s="7"/>
      <c r="AP16" s="7"/>
      <c r="AQ16" s="82">
        <v>570.04</v>
      </c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80"/>
      <c r="BO16" s="7"/>
      <c r="BP16" s="7"/>
      <c r="BQ16" s="82">
        <v>470.04</v>
      </c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80"/>
      <c r="CO16" s="50"/>
      <c r="CP16" s="7"/>
      <c r="CQ16" s="7"/>
      <c r="CR16" s="123"/>
      <c r="CS16" s="123"/>
      <c r="CT16" s="7"/>
      <c r="CU16" s="7"/>
      <c r="CV16" s="7"/>
      <c r="CW16" s="7"/>
      <c r="CX16" s="7"/>
      <c r="CY16" s="7"/>
      <c r="CZ16" s="7"/>
      <c r="DA16" s="13">
        <v>204.01</v>
      </c>
      <c r="DB16" s="7"/>
      <c r="DC16" s="81"/>
      <c r="DD16" s="7"/>
      <c r="DE16" s="80"/>
      <c r="DF16" s="7"/>
      <c r="DG16" s="85" t="s">
        <v>18</v>
      </c>
      <c r="DH16" s="86"/>
      <c r="DI16" s="86"/>
      <c r="DJ16" s="87"/>
      <c r="DK16" s="7"/>
      <c r="DL16" s="80"/>
      <c r="DM16" s="7"/>
      <c r="DN16" s="7"/>
      <c r="DO16" s="80"/>
      <c r="DP16" s="80"/>
      <c r="DQ16" s="7"/>
      <c r="DR16" s="7"/>
      <c r="DS16" s="7"/>
      <c r="DT16" s="80"/>
      <c r="DU16" s="7"/>
      <c r="DV16" s="7"/>
      <c r="DW16" s="114"/>
      <c r="DX16" s="7"/>
      <c r="DY16" s="85" t="s">
        <v>468</v>
      </c>
      <c r="DZ16" s="86"/>
      <c r="EA16" s="86"/>
      <c r="EB16" s="87"/>
      <c r="EC16" s="7"/>
      <c r="ED16" s="114"/>
      <c r="EE16" s="7"/>
      <c r="EF16" s="7"/>
      <c r="EG16" s="114"/>
      <c r="EH16" s="114"/>
      <c r="EI16" s="7"/>
      <c r="EJ16" s="7"/>
      <c r="EK16" s="7"/>
      <c r="EL16" s="114"/>
      <c r="EM16" s="7"/>
      <c r="EN16" s="7"/>
      <c r="EO16" s="7"/>
      <c r="EP16" s="7"/>
      <c r="EQ16" s="7"/>
      <c r="ER16" s="68" t="s">
        <v>2580</v>
      </c>
    </row>
    <row r="17" spans="1:148" ht="15.75" thickBot="1" x14ac:dyDescent="0.3">
      <c r="A17" s="29"/>
      <c r="B17" s="46" t="s">
        <v>11</v>
      </c>
      <c r="C17" s="37" t="str" cm="1">
        <f t="array" ref="C17">_xlfn.XLOOKUP(C7 &amp; "",tblConveyors[section_alias] &amp; "",tblConveyors[Manufacturer] &amp; "")</f>
        <v>GORBEL</v>
      </c>
      <c r="D17" s="27"/>
      <c r="E17" s="53"/>
      <c r="F17" s="142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84"/>
      <c r="V17" s="18">
        <v>648.04999999999995</v>
      </c>
      <c r="W17" s="13">
        <v>648.05999999999995</v>
      </c>
      <c r="X17" s="13">
        <v>648.07000000000005</v>
      </c>
      <c r="Y17" s="13">
        <v>648.08000000000004</v>
      </c>
      <c r="Z17" s="13">
        <v>648.09</v>
      </c>
      <c r="AA17" s="13" t="s">
        <v>1783</v>
      </c>
      <c r="AB17" s="13">
        <v>648.11</v>
      </c>
      <c r="AC17" s="13">
        <v>648.12</v>
      </c>
      <c r="AD17" s="13">
        <v>648.13</v>
      </c>
      <c r="AE17" s="13">
        <v>648.14</v>
      </c>
      <c r="AF17" s="13">
        <v>648.15</v>
      </c>
      <c r="AG17" s="13">
        <v>648.16</v>
      </c>
      <c r="AH17" s="13">
        <v>648.16999999999996</v>
      </c>
      <c r="AI17" s="13">
        <v>648.17999999999995</v>
      </c>
      <c r="AJ17" s="13">
        <v>648.19000000000005</v>
      </c>
      <c r="AK17" s="13" t="s">
        <v>1713</v>
      </c>
      <c r="AL17" s="13">
        <v>648.21</v>
      </c>
      <c r="AM17" s="13">
        <v>650</v>
      </c>
      <c r="AN17" s="81"/>
      <c r="AO17" s="7"/>
      <c r="AP17" s="7"/>
      <c r="AQ17" s="84"/>
      <c r="AR17" s="13">
        <v>570.04999999999995</v>
      </c>
      <c r="AS17" s="77">
        <v>570.05999999999995</v>
      </c>
      <c r="AT17" s="116"/>
      <c r="AU17" s="94">
        <v>570.07000000000005</v>
      </c>
      <c r="AV17" s="109"/>
      <c r="AW17" s="94">
        <v>570.08000000000004</v>
      </c>
      <c r="AX17" s="109"/>
      <c r="AY17" s="13">
        <v>570.09</v>
      </c>
      <c r="AZ17" s="94" t="s">
        <v>1657</v>
      </c>
      <c r="BA17" s="109"/>
      <c r="BB17" s="13">
        <v>570.11</v>
      </c>
      <c r="BC17" s="13">
        <v>570.12</v>
      </c>
      <c r="BD17" s="13">
        <v>570.13</v>
      </c>
      <c r="BE17" s="13">
        <v>570.14</v>
      </c>
      <c r="BF17" s="7"/>
      <c r="BG17" s="7"/>
      <c r="BH17" s="7"/>
      <c r="BI17" s="7"/>
      <c r="BJ17" s="7"/>
      <c r="BK17" s="7"/>
      <c r="BL17" s="7"/>
      <c r="BM17" s="7"/>
      <c r="BN17" s="80"/>
      <c r="BO17" s="7"/>
      <c r="BP17" s="7"/>
      <c r="BQ17" s="84"/>
      <c r="BR17" s="94">
        <v>470.05</v>
      </c>
      <c r="BS17" s="109"/>
      <c r="BT17" s="94">
        <v>470.06</v>
      </c>
      <c r="BU17" s="109"/>
      <c r="BV17" s="94">
        <v>470.07</v>
      </c>
      <c r="BW17" s="109"/>
      <c r="BX17" s="13">
        <v>470.08</v>
      </c>
      <c r="BY17" s="13">
        <v>470.09</v>
      </c>
      <c r="BZ17" s="13" t="s">
        <v>1083</v>
      </c>
      <c r="CA17" s="94">
        <v>470.11</v>
      </c>
      <c r="CB17" s="109"/>
      <c r="CC17" s="13">
        <v>470.12</v>
      </c>
      <c r="CD17" s="13">
        <v>470.13</v>
      </c>
      <c r="CE17" s="54">
        <v>470.14</v>
      </c>
      <c r="CF17" s="7"/>
      <c r="CG17" s="7"/>
      <c r="CH17" s="7"/>
      <c r="CI17" s="7"/>
      <c r="CJ17" s="7"/>
      <c r="CK17" s="7"/>
      <c r="CL17" s="7"/>
      <c r="CM17" s="7"/>
      <c r="CN17" s="80"/>
      <c r="CO17" s="50"/>
      <c r="CP17" s="50"/>
      <c r="CQ17" s="50"/>
      <c r="CR17" s="127"/>
      <c r="CS17" s="59"/>
      <c r="CT17" s="7"/>
      <c r="CU17" s="7"/>
      <c r="CV17" s="7"/>
      <c r="CW17" s="7"/>
      <c r="CX17" s="7"/>
      <c r="CY17" s="7"/>
      <c r="CZ17" s="7"/>
      <c r="DA17" s="13">
        <v>205</v>
      </c>
      <c r="DB17" s="7"/>
      <c r="DC17" s="13">
        <v>212.11</v>
      </c>
      <c r="DD17" s="7"/>
      <c r="DE17" s="80"/>
      <c r="DF17" s="7"/>
      <c r="DG17" s="7"/>
      <c r="DH17" s="7"/>
      <c r="DI17" s="7"/>
      <c r="DJ17" s="7"/>
      <c r="DK17" s="7"/>
      <c r="DL17" s="80"/>
      <c r="DM17" s="7"/>
      <c r="DN17" s="7"/>
      <c r="DO17" s="80"/>
      <c r="DP17" s="80"/>
      <c r="DQ17" s="7"/>
      <c r="DR17" s="7"/>
      <c r="DS17" s="7"/>
      <c r="DT17" s="80"/>
      <c r="DU17" s="7"/>
      <c r="DV17" s="7"/>
      <c r="DW17" s="114"/>
      <c r="DX17" s="7"/>
      <c r="DY17" s="7"/>
      <c r="DZ17" s="7"/>
      <c r="EA17" s="7"/>
      <c r="EB17" s="7"/>
      <c r="EC17" s="7"/>
      <c r="ED17" s="114"/>
      <c r="EE17" s="7"/>
      <c r="EF17" s="7"/>
      <c r="EG17" s="114"/>
      <c r="EH17" s="114"/>
      <c r="EI17" s="7"/>
      <c r="EJ17" s="7"/>
      <c r="EK17" s="7"/>
      <c r="EL17" s="114"/>
      <c r="EM17" s="7"/>
      <c r="EN17" s="7"/>
      <c r="EO17" s="7"/>
      <c r="EP17" s="7"/>
      <c r="EQ17" s="7"/>
      <c r="ER17" s="68" t="s">
        <v>2581</v>
      </c>
    </row>
    <row r="18" spans="1:148" ht="15.75" thickBot="1" x14ac:dyDescent="0.3">
      <c r="A18" s="29"/>
      <c r="B18" s="46" t="s">
        <v>12</v>
      </c>
      <c r="C18" s="37" t="str" cm="1">
        <f t="array" ref="C18">_xlfn.XLOOKUP(C7 &amp; "",tblConveyors[section_alias] &amp; "",tblConveyors[Model] &amp; "")</f>
        <v>AE-0T24081-H-L</v>
      </c>
      <c r="D18" s="27"/>
      <c r="E18" s="53"/>
      <c r="F18" s="150"/>
      <c r="G18" s="11" t="s">
        <v>2327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9" t="s">
        <v>1705</v>
      </c>
      <c r="AC18" s="7"/>
      <c r="AD18" s="7"/>
      <c r="AE18" s="7"/>
      <c r="AF18" s="79" t="s">
        <v>1711</v>
      </c>
      <c r="AG18" s="7"/>
      <c r="AH18" s="7"/>
      <c r="AI18" s="7"/>
      <c r="AJ18" s="79" t="s">
        <v>1717</v>
      </c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13">
        <v>570.15</v>
      </c>
      <c r="BF18" s="7"/>
      <c r="BG18" s="7"/>
      <c r="BH18" s="7"/>
      <c r="BI18" s="7"/>
      <c r="BJ18" s="7"/>
      <c r="BK18" s="7"/>
      <c r="BL18" s="7"/>
      <c r="BM18" s="7"/>
      <c r="BN18" s="80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13" t="s">
        <v>1105</v>
      </c>
      <c r="CF18" s="7"/>
      <c r="CG18" s="7"/>
      <c r="CH18" s="7"/>
      <c r="CI18" s="7"/>
      <c r="CJ18" s="7"/>
      <c r="CK18" s="7"/>
      <c r="CL18" s="7"/>
      <c r="CM18" s="7"/>
      <c r="CN18" s="80"/>
      <c r="CO18" s="50"/>
      <c r="CP18" s="119" t="s">
        <v>2583</v>
      </c>
      <c r="CQ18" s="120"/>
      <c r="CR18" s="121"/>
      <c r="CS18" s="60"/>
      <c r="CT18" s="7"/>
      <c r="CU18" s="7"/>
      <c r="CV18" s="7"/>
      <c r="CW18" s="7"/>
      <c r="CX18" s="7"/>
      <c r="CY18" s="7"/>
      <c r="CZ18" s="7"/>
      <c r="DA18" s="13">
        <v>206</v>
      </c>
      <c r="DB18" s="7"/>
      <c r="DC18" s="79" t="s">
        <v>333</v>
      </c>
      <c r="DD18" s="7"/>
      <c r="DE18" s="80"/>
      <c r="DF18" s="7"/>
      <c r="DG18" s="7"/>
      <c r="DH18" s="7"/>
      <c r="DI18" s="7"/>
      <c r="DJ18" s="7"/>
      <c r="DK18" s="7"/>
      <c r="DL18" s="80"/>
      <c r="DM18" s="7"/>
      <c r="DN18" s="7"/>
      <c r="DO18" s="80"/>
      <c r="DP18" s="80"/>
      <c r="DQ18" s="7"/>
      <c r="DR18" s="7"/>
      <c r="DS18" s="7"/>
      <c r="DT18" s="80"/>
      <c r="DU18" s="7"/>
      <c r="DV18" s="7"/>
      <c r="DW18" s="114"/>
      <c r="DX18" s="7"/>
      <c r="DY18" s="7"/>
      <c r="DZ18" s="7"/>
      <c r="EA18" s="7"/>
      <c r="EB18" s="7"/>
      <c r="EC18" s="7"/>
      <c r="ED18" s="114"/>
      <c r="EE18" s="7"/>
      <c r="EF18" s="7"/>
      <c r="EG18" s="114"/>
      <c r="EH18" s="114"/>
      <c r="EI18" s="7"/>
      <c r="EJ18" s="7"/>
      <c r="EK18" s="7"/>
      <c r="EL18" s="114"/>
      <c r="EM18" s="7"/>
      <c r="EN18" s="7"/>
      <c r="EO18" s="7"/>
      <c r="EP18" s="7"/>
      <c r="EQ18" s="7"/>
    </row>
    <row r="19" spans="1:148" ht="15.75" thickBot="1" x14ac:dyDescent="0.3">
      <c r="A19" s="29"/>
      <c r="B19" s="46" t="s">
        <v>13</v>
      </c>
      <c r="C19" s="37" t="str" cm="1">
        <f t="array" ref="C19">_xlfn.XLOOKUP(C10 &amp; "",tblConveyors[section_alias] &amp; "",tblConveyors[Class] &amp; "")</f>
        <v>CONV</v>
      </c>
      <c r="D19" s="27"/>
      <c r="E19" s="53"/>
      <c r="F19" s="150"/>
      <c r="G19" s="12" t="s">
        <v>2327</v>
      </c>
      <c r="H19" s="2" t="s">
        <v>2327</v>
      </c>
      <c r="I19" s="77" t="s">
        <v>2351</v>
      </c>
      <c r="J19" s="78"/>
      <c r="K19" s="78"/>
      <c r="L19" s="78"/>
      <c r="M19" s="78"/>
      <c r="N19" s="78"/>
      <c r="O19" s="78"/>
      <c r="P19" s="78"/>
      <c r="Q19" s="13" t="s">
        <v>2373</v>
      </c>
      <c r="R19" s="7"/>
      <c r="S19" s="7"/>
      <c r="T19" s="7"/>
      <c r="U19" s="7"/>
      <c r="V19" s="7"/>
      <c r="W19" s="7"/>
      <c r="X19" s="7"/>
      <c r="Y19" s="7"/>
      <c r="Z19" s="7"/>
      <c r="AA19" s="7"/>
      <c r="AB19" s="81"/>
      <c r="AC19" s="7"/>
      <c r="AD19" s="7"/>
      <c r="AE19" s="7"/>
      <c r="AF19" s="81"/>
      <c r="AG19" s="7"/>
      <c r="AH19" s="7"/>
      <c r="AI19" s="7"/>
      <c r="AJ19" s="81"/>
      <c r="AK19" s="7"/>
      <c r="AL19" s="7"/>
      <c r="AM19" s="7"/>
      <c r="AN19" s="7"/>
      <c r="AO19" s="7"/>
      <c r="AP19" s="7"/>
      <c r="AQ19" s="7"/>
      <c r="AR19" s="3">
        <v>516.04</v>
      </c>
      <c r="AS19" s="13">
        <v>516.04999999999995</v>
      </c>
      <c r="AT19" s="13">
        <v>516.05999999999995</v>
      </c>
      <c r="AU19" s="18">
        <v>516.07000000000005</v>
      </c>
      <c r="AV19" s="18">
        <v>516.08000000000004</v>
      </c>
      <c r="AW19" s="18">
        <v>516.09</v>
      </c>
      <c r="AX19" s="133" t="s">
        <v>1466</v>
      </c>
      <c r="AY19" s="134"/>
      <c r="AZ19" s="94">
        <v>516.11</v>
      </c>
      <c r="BA19" s="109"/>
      <c r="BB19" s="13">
        <v>516.12</v>
      </c>
      <c r="BC19" s="13">
        <v>516.13</v>
      </c>
      <c r="BD19" s="13">
        <v>516.14</v>
      </c>
      <c r="BE19" s="13">
        <v>516.15</v>
      </c>
      <c r="BF19" s="13">
        <v>548.01</v>
      </c>
      <c r="BG19" s="13">
        <v>548.02</v>
      </c>
      <c r="BH19" s="13">
        <v>548.03</v>
      </c>
      <c r="BI19" s="13">
        <v>548.04</v>
      </c>
      <c r="BJ19" s="13">
        <v>548.04999999999995</v>
      </c>
      <c r="BK19" s="13">
        <v>548.05999999999995</v>
      </c>
      <c r="BL19" s="94">
        <v>550</v>
      </c>
      <c r="BM19" s="109"/>
      <c r="BN19" s="81"/>
      <c r="BO19" s="7"/>
      <c r="BP19" s="7"/>
      <c r="BQ19" s="7"/>
      <c r="BR19" s="13">
        <v>416.04</v>
      </c>
      <c r="BS19" s="13">
        <v>416.05</v>
      </c>
      <c r="BT19" s="13">
        <v>416.06</v>
      </c>
      <c r="BU19" s="13">
        <v>416.07</v>
      </c>
      <c r="BV19" s="18">
        <v>416.08</v>
      </c>
      <c r="BW19" s="18">
        <v>416.09</v>
      </c>
      <c r="BX19" s="18" t="s">
        <v>882</v>
      </c>
      <c r="BY19" s="13">
        <v>416.11</v>
      </c>
      <c r="BZ19" s="13">
        <v>416.12</v>
      </c>
      <c r="CA19" s="94">
        <v>416.13</v>
      </c>
      <c r="CB19" s="109"/>
      <c r="CC19" s="13">
        <v>416.14</v>
      </c>
      <c r="CD19" s="13">
        <v>416.15</v>
      </c>
      <c r="CE19" s="55">
        <v>416.16</v>
      </c>
      <c r="CF19" s="13">
        <v>448.01</v>
      </c>
      <c r="CG19" s="13">
        <v>448.02</v>
      </c>
      <c r="CH19" s="13">
        <v>448.03</v>
      </c>
      <c r="CI19" s="13">
        <v>448.04</v>
      </c>
      <c r="CJ19" s="13">
        <v>448.05</v>
      </c>
      <c r="CK19" s="3">
        <v>448.06</v>
      </c>
      <c r="CL19" s="94">
        <v>450</v>
      </c>
      <c r="CM19" s="109"/>
      <c r="CN19" s="81"/>
      <c r="CO19" s="50"/>
      <c r="CP19" s="50"/>
      <c r="CQ19" s="50"/>
      <c r="CR19" s="50"/>
      <c r="CS19" s="13" t="s">
        <v>2585</v>
      </c>
      <c r="CT19" s="7"/>
      <c r="CU19" s="7"/>
      <c r="CV19" s="7"/>
      <c r="CW19" s="7"/>
      <c r="CX19" s="7"/>
      <c r="CY19" s="7"/>
      <c r="CZ19" s="7"/>
      <c r="DA19" s="13">
        <v>207</v>
      </c>
      <c r="DB19" s="7"/>
      <c r="DC19" s="81"/>
      <c r="DD19" s="7"/>
      <c r="DE19" s="80"/>
      <c r="DF19" s="7"/>
      <c r="DG19" s="7"/>
      <c r="DH19" s="7"/>
      <c r="DI19" s="7"/>
      <c r="DJ19" s="7"/>
      <c r="DK19" s="7"/>
      <c r="DL19" s="80"/>
      <c r="DM19" s="7"/>
      <c r="DN19" s="7"/>
      <c r="DO19" s="80"/>
      <c r="DP19" s="80"/>
      <c r="DQ19" s="7"/>
      <c r="DR19" s="7"/>
      <c r="DS19" s="7"/>
      <c r="DT19" s="80"/>
      <c r="DU19" s="7"/>
      <c r="DV19" s="7"/>
      <c r="DW19" s="114"/>
      <c r="DX19" s="7"/>
      <c r="DY19" s="7"/>
      <c r="DZ19" s="7"/>
      <c r="EA19" s="7"/>
      <c r="EB19" s="7"/>
      <c r="EC19" s="7"/>
      <c r="ED19" s="114"/>
      <c r="EE19" s="7"/>
      <c r="EF19" s="7"/>
      <c r="EG19" s="114"/>
      <c r="EH19" s="114"/>
      <c r="EI19" s="7"/>
      <c r="EJ19" s="7"/>
      <c r="EK19" s="7"/>
      <c r="EL19" s="114"/>
      <c r="EM19" s="7"/>
      <c r="EN19" s="7"/>
      <c r="EO19" s="7"/>
      <c r="EP19" s="7"/>
      <c r="EQ19" s="7"/>
    </row>
    <row r="20" spans="1:148" ht="15.75" thickBot="1" x14ac:dyDescent="0.3">
      <c r="A20" s="26"/>
      <c r="B20" s="47" t="s">
        <v>8</v>
      </c>
      <c r="C20" s="37" t="str" cm="1">
        <f t="array" ref="C20">_xlfn.XLOOKUP(C7 &amp; "",tblConveyors[section_alias] &amp; "",tblConveyors[Amazon Alias] &amp; "")</f>
        <v>GORBEL CBC AE-DT24081-H-I</v>
      </c>
      <c r="D20" s="27"/>
      <c r="E20" s="53"/>
      <c r="F20" s="142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9" t="s">
        <v>1688</v>
      </c>
      <c r="AC20" s="7"/>
      <c r="AD20" s="7"/>
      <c r="AE20" s="7"/>
      <c r="AF20" s="79" t="s">
        <v>1695</v>
      </c>
      <c r="AG20" s="7"/>
      <c r="AH20" s="7"/>
      <c r="AI20" s="7"/>
      <c r="AJ20" s="79" t="s">
        <v>1700</v>
      </c>
      <c r="AK20" s="7"/>
      <c r="AL20" s="7"/>
      <c r="AM20" s="7"/>
      <c r="AN20" s="7"/>
      <c r="AO20" s="7"/>
      <c r="AP20" s="7"/>
      <c r="AQ20" s="7"/>
      <c r="AR20" s="13">
        <v>516.03</v>
      </c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13">
        <v>416.03</v>
      </c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50"/>
      <c r="CP20" s="50"/>
      <c r="CQ20" s="50"/>
      <c r="CR20" s="50"/>
      <c r="CS20" s="13" t="s">
        <v>2587</v>
      </c>
      <c r="CT20" s="7"/>
      <c r="CU20" s="7"/>
      <c r="CV20" s="7"/>
      <c r="CW20" s="7"/>
      <c r="CX20" s="7"/>
      <c r="CY20" s="7"/>
      <c r="CZ20" s="7"/>
      <c r="DA20" s="13">
        <v>208</v>
      </c>
      <c r="DB20" s="7"/>
      <c r="DC20" s="13">
        <v>212.09</v>
      </c>
      <c r="DD20" s="7"/>
      <c r="DE20" s="80"/>
      <c r="DF20" s="7"/>
      <c r="DG20" s="7"/>
      <c r="DH20" s="7"/>
      <c r="DI20" s="7"/>
      <c r="DJ20" s="7"/>
      <c r="DK20" s="7"/>
      <c r="DL20" s="80"/>
      <c r="DM20" s="7"/>
      <c r="DN20" s="7"/>
      <c r="DO20" s="80"/>
      <c r="DP20" s="80"/>
      <c r="DQ20" s="7"/>
      <c r="DR20" s="7"/>
      <c r="DS20" s="7"/>
      <c r="DT20" s="80"/>
      <c r="DU20" s="7"/>
      <c r="DV20" s="7"/>
      <c r="DW20" s="114"/>
      <c r="DX20" s="7"/>
      <c r="DY20" s="7"/>
      <c r="DZ20" s="7"/>
      <c r="EA20" s="7"/>
      <c r="EB20" s="7"/>
      <c r="EC20" s="7"/>
      <c r="ED20" s="114"/>
      <c r="EE20" s="7"/>
      <c r="EF20" s="7"/>
      <c r="EG20" s="114"/>
      <c r="EH20" s="114"/>
      <c r="EI20" s="7"/>
      <c r="EJ20" s="7"/>
      <c r="EK20" s="7"/>
      <c r="EL20" s="114"/>
      <c r="EM20" s="7"/>
      <c r="EN20" s="7"/>
      <c r="EO20" s="7"/>
      <c r="EP20" s="7"/>
      <c r="EQ20" s="7"/>
    </row>
    <row r="21" spans="1:148" ht="21.75" thickBot="1" x14ac:dyDescent="0.3">
      <c r="A21" s="26"/>
      <c r="B21" s="46" t="s">
        <v>9</v>
      </c>
      <c r="C21" s="37" t="str" cm="1">
        <f t="array" ref="C21">_xlfn.XLOOKUP(C7 &amp; "",tblConveyors[section_alias] &amp; "",tblConveyors[Amazon Alias Description] &amp; "")</f>
        <v/>
      </c>
      <c r="D21" s="27"/>
      <c r="E21" s="53"/>
      <c r="F21" s="142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80"/>
      <c r="AC21" s="7"/>
      <c r="AD21" s="7"/>
      <c r="AE21" s="7"/>
      <c r="AF21" s="80"/>
      <c r="AG21" s="7"/>
      <c r="AH21" s="7"/>
      <c r="AI21" s="7"/>
      <c r="AJ21" s="80"/>
      <c r="AK21" s="7"/>
      <c r="AL21" s="7"/>
      <c r="AM21" s="7"/>
      <c r="AN21" s="7"/>
      <c r="AO21" s="7"/>
      <c r="AP21" s="7"/>
      <c r="AQ21" s="82">
        <v>515.11</v>
      </c>
      <c r="AR21" s="13">
        <v>516.02</v>
      </c>
      <c r="AS21" s="7"/>
      <c r="AT21" s="13">
        <v>514.03</v>
      </c>
      <c r="AU21" s="18">
        <v>514.02</v>
      </c>
      <c r="AV21" s="18">
        <v>514.01</v>
      </c>
      <c r="AW21" s="18" t="s">
        <v>1291</v>
      </c>
      <c r="AX21" s="18">
        <v>512.19000000000005</v>
      </c>
      <c r="AY21" s="13">
        <v>512.17999999999995</v>
      </c>
      <c r="AZ21" s="13">
        <v>512.16999999999996</v>
      </c>
      <c r="BA21" s="13">
        <v>512.16</v>
      </c>
      <c r="BB21" s="18">
        <v>512.15</v>
      </c>
      <c r="BC21" s="13">
        <v>512.14</v>
      </c>
      <c r="BD21" s="13">
        <v>512.13</v>
      </c>
      <c r="BE21" s="13">
        <v>512.12</v>
      </c>
      <c r="BF21" s="13">
        <v>512.11</v>
      </c>
      <c r="BG21" s="13" t="s">
        <v>1242</v>
      </c>
      <c r="BH21" s="13">
        <v>512.09</v>
      </c>
      <c r="BI21" s="13">
        <v>512.08000000000004</v>
      </c>
      <c r="BJ21" s="13">
        <v>512.07000000000005</v>
      </c>
      <c r="BK21" s="13">
        <v>512.05999999999995</v>
      </c>
      <c r="BL21" s="13">
        <v>512.04999999999995</v>
      </c>
      <c r="BM21" s="13">
        <v>512.04</v>
      </c>
      <c r="BN21" s="13">
        <v>512.03</v>
      </c>
      <c r="BO21" s="7"/>
      <c r="BP21" s="7"/>
      <c r="BQ21" s="82">
        <v>415.11</v>
      </c>
      <c r="BR21" s="13">
        <v>416.02</v>
      </c>
      <c r="BS21" s="7"/>
      <c r="BT21" s="13">
        <v>414.03</v>
      </c>
      <c r="BU21" s="13">
        <v>414.02</v>
      </c>
      <c r="BV21" s="18">
        <v>414.01</v>
      </c>
      <c r="BW21" s="18" t="s">
        <v>699</v>
      </c>
      <c r="BX21" s="18">
        <v>412.19</v>
      </c>
      <c r="BY21" s="13">
        <v>412.18</v>
      </c>
      <c r="BZ21" s="13">
        <v>412.17</v>
      </c>
      <c r="CA21" s="13">
        <v>412.16</v>
      </c>
      <c r="CB21" s="18">
        <v>412.15</v>
      </c>
      <c r="CC21" s="13">
        <v>412.14</v>
      </c>
      <c r="CD21" s="13">
        <v>412.13</v>
      </c>
      <c r="CE21" s="13">
        <v>412.12</v>
      </c>
      <c r="CF21" s="13">
        <v>412.11</v>
      </c>
      <c r="CG21" s="13" t="s">
        <v>650</v>
      </c>
      <c r="CH21" s="13">
        <v>412.09</v>
      </c>
      <c r="CI21" s="13">
        <v>412.08</v>
      </c>
      <c r="CJ21" s="13">
        <v>412.07</v>
      </c>
      <c r="CK21" s="3">
        <v>412.06</v>
      </c>
      <c r="CL21" s="13">
        <v>412.05</v>
      </c>
      <c r="CM21" s="13">
        <v>412.04</v>
      </c>
      <c r="CN21" s="13">
        <v>412.03</v>
      </c>
      <c r="CO21" s="50"/>
      <c r="CP21" s="130" t="s">
        <v>2589</v>
      </c>
      <c r="CQ21" s="131"/>
      <c r="CR21" s="132"/>
      <c r="CS21" s="13" t="s">
        <v>2590</v>
      </c>
      <c r="CT21" s="7"/>
      <c r="CU21" s="7"/>
      <c r="CV21" s="7"/>
      <c r="CW21" s="7"/>
      <c r="CX21" s="7"/>
      <c r="CY21" s="7"/>
      <c r="CZ21" s="7"/>
      <c r="DA21" s="13">
        <v>209.01</v>
      </c>
      <c r="DB21" s="7"/>
      <c r="DC21" s="79">
        <v>212.08</v>
      </c>
      <c r="DD21" s="7"/>
      <c r="DE21" s="80"/>
      <c r="DF21" s="7"/>
      <c r="DG21" s="7"/>
      <c r="DH21" s="7"/>
      <c r="DI21" s="7"/>
      <c r="DJ21" s="7"/>
      <c r="DK21" s="7"/>
      <c r="DL21" s="80"/>
      <c r="DM21" s="7"/>
      <c r="DN21" s="7"/>
      <c r="DO21" s="80"/>
      <c r="DP21" s="80"/>
      <c r="DQ21" s="7"/>
      <c r="DR21" s="7"/>
      <c r="DS21" s="7"/>
      <c r="DT21" s="80"/>
      <c r="DU21" s="7"/>
      <c r="DV21" s="7"/>
      <c r="DW21" s="114"/>
      <c r="DX21" s="7"/>
      <c r="DY21" s="7"/>
      <c r="DZ21" s="7"/>
      <c r="EA21" s="7"/>
      <c r="EB21" s="7"/>
      <c r="EC21" s="7"/>
      <c r="ED21" s="114"/>
      <c r="EE21" s="7"/>
      <c r="EF21" s="7"/>
      <c r="EG21" s="114"/>
      <c r="EH21" s="114"/>
      <c r="EI21" s="7"/>
      <c r="EJ21" s="7"/>
      <c r="EK21" s="7"/>
      <c r="EL21" s="114"/>
      <c r="EM21" s="7"/>
      <c r="EN21" s="7"/>
      <c r="EO21" s="7"/>
      <c r="EP21" s="7"/>
      <c r="EQ21" s="7"/>
    </row>
    <row r="22" spans="1:148" ht="15.75" thickBot="1" x14ac:dyDescent="0.3">
      <c r="A22" s="26"/>
      <c r="B22" s="47" t="s">
        <v>10</v>
      </c>
      <c r="C22" s="37" t="str" cm="1">
        <f t="array" ref="C22">_xlfn.XLOOKUP(C7 &amp; "",tblConveyors[section_alias] &amp; "",tblConveyors[Equipment Configuration] &amp; "")</f>
        <v>GR1.AE-0T24081-H-L</v>
      </c>
      <c r="D22" s="27"/>
      <c r="E22" s="53"/>
      <c r="F22" s="150"/>
      <c r="G22" s="11" t="s">
        <v>2333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80"/>
      <c r="AC22" s="7"/>
      <c r="AD22" s="7"/>
      <c r="AE22" s="7"/>
      <c r="AF22" s="80"/>
      <c r="AG22" s="7"/>
      <c r="AH22" s="7"/>
      <c r="AI22" s="7"/>
      <c r="AJ22" s="80"/>
      <c r="AK22" s="7"/>
      <c r="AL22" s="7"/>
      <c r="AM22" s="7"/>
      <c r="AN22" s="7"/>
      <c r="AO22" s="7"/>
      <c r="AP22" s="7"/>
      <c r="AQ22" s="84"/>
      <c r="AR22" s="13">
        <v>516.01</v>
      </c>
      <c r="AS22" s="7"/>
      <c r="AT22" s="13">
        <v>514.04</v>
      </c>
      <c r="AU22" s="7"/>
      <c r="AV22" s="7"/>
      <c r="AW22" s="13" t="s">
        <v>1188</v>
      </c>
      <c r="AX22" s="7"/>
      <c r="AY22" s="7"/>
      <c r="AZ22" s="7"/>
      <c r="BA22" s="7"/>
      <c r="BB22" s="13" t="s">
        <v>1183</v>
      </c>
      <c r="BC22" s="7"/>
      <c r="BD22" s="7"/>
      <c r="BE22" s="7"/>
      <c r="BF22" s="7"/>
      <c r="BG22" s="13" t="s">
        <v>1193</v>
      </c>
      <c r="BH22" s="13" t="s">
        <v>1178</v>
      </c>
      <c r="BI22" s="7"/>
      <c r="BJ22" s="7"/>
      <c r="BK22" s="7"/>
      <c r="BL22" s="7"/>
      <c r="BM22" s="7"/>
      <c r="BN22" s="13">
        <v>512.02</v>
      </c>
      <c r="BO22" s="7"/>
      <c r="BP22" s="7"/>
      <c r="BQ22" s="84"/>
      <c r="BR22" s="13">
        <v>416.01</v>
      </c>
      <c r="BS22" s="7"/>
      <c r="BT22" s="13">
        <v>414.04</v>
      </c>
      <c r="BU22" s="7"/>
      <c r="BV22" s="7"/>
      <c r="BW22" s="7"/>
      <c r="BX22" s="13" t="s">
        <v>587</v>
      </c>
      <c r="BY22" s="7"/>
      <c r="BZ22" s="7"/>
      <c r="CA22" s="7"/>
      <c r="CB22" s="7"/>
      <c r="CC22" s="7"/>
      <c r="CD22" s="13" t="s">
        <v>597</v>
      </c>
      <c r="CE22" s="7"/>
      <c r="CF22" s="7"/>
      <c r="CG22" s="13" t="s">
        <v>601</v>
      </c>
      <c r="CH22" s="13" t="s">
        <v>592</v>
      </c>
      <c r="CI22" s="7"/>
      <c r="CJ22" s="7"/>
      <c r="CK22" s="7"/>
      <c r="CL22" s="7"/>
      <c r="CM22" s="7"/>
      <c r="CN22" s="13">
        <v>412.02</v>
      </c>
      <c r="CO22" s="50"/>
      <c r="CP22" s="50"/>
      <c r="CQ22" s="50"/>
      <c r="CR22" s="50"/>
      <c r="CS22" s="13" t="s">
        <v>2592</v>
      </c>
      <c r="CT22" s="7"/>
      <c r="CU22" s="7"/>
      <c r="CV22" s="7"/>
      <c r="CW22" s="7"/>
      <c r="CX22" s="7"/>
      <c r="CY22" s="7"/>
      <c r="CZ22" s="7"/>
      <c r="DA22" s="13">
        <v>209.02</v>
      </c>
      <c r="DB22" s="7"/>
      <c r="DC22" s="81"/>
      <c r="DD22" s="7"/>
      <c r="DE22" s="80"/>
      <c r="DF22" s="7"/>
      <c r="DG22" s="7"/>
      <c r="DH22" s="7"/>
      <c r="DI22" s="7"/>
      <c r="DJ22" s="7"/>
      <c r="DK22" s="7"/>
      <c r="DL22" s="80"/>
      <c r="DM22" s="7"/>
      <c r="DN22" s="7"/>
      <c r="DO22" s="80"/>
      <c r="DP22" s="80"/>
      <c r="DQ22" s="7"/>
      <c r="DR22" s="7"/>
      <c r="DS22" s="7"/>
      <c r="DT22" s="80"/>
      <c r="DU22" s="7"/>
      <c r="DV22" s="7"/>
      <c r="DW22" s="114"/>
      <c r="DX22" s="7"/>
      <c r="DY22" s="7"/>
      <c r="DZ22" s="7"/>
      <c r="EA22" s="7"/>
      <c r="EB22" s="7"/>
      <c r="EC22" s="7"/>
      <c r="ED22" s="114"/>
      <c r="EE22" s="7"/>
      <c r="EF22" s="7"/>
      <c r="EG22" s="114"/>
      <c r="EH22" s="114"/>
      <c r="EI22" s="7"/>
      <c r="EJ22" s="7"/>
      <c r="EK22" s="7"/>
      <c r="EL22" s="114"/>
      <c r="EM22" s="7"/>
      <c r="EN22" s="7"/>
      <c r="ER22" s="68" t="s">
        <v>2582</v>
      </c>
    </row>
    <row r="23" spans="1:148" ht="15.75" thickBot="1" x14ac:dyDescent="0.3">
      <c r="A23" s="26"/>
      <c r="B23" s="48" t="s">
        <v>15</v>
      </c>
      <c r="C23" s="37" t="str" cm="1">
        <f t="array" ref="C23">_xlfn.XLOOKUP(C7 &amp; "",tblConveyors[section_alias] &amp; "",tblConveyors[NA EAM Object Code] &amp; "")</f>
        <v/>
      </c>
      <c r="D23" s="27"/>
      <c r="E23" s="53"/>
      <c r="F23" s="150"/>
      <c r="G23" s="12" t="s">
        <v>2333</v>
      </c>
      <c r="H23" s="2" t="s">
        <v>2333</v>
      </c>
      <c r="I23" s="77" t="s">
        <v>2357</v>
      </c>
      <c r="J23" s="78"/>
      <c r="K23" s="78"/>
      <c r="L23" s="78"/>
      <c r="M23" s="78"/>
      <c r="N23" s="78"/>
      <c r="O23" s="78"/>
      <c r="P23" s="78"/>
      <c r="Q23" s="13" t="s">
        <v>2378</v>
      </c>
      <c r="R23" s="7"/>
      <c r="S23" s="7"/>
      <c r="T23" s="7"/>
      <c r="U23" s="7"/>
      <c r="V23" s="7"/>
      <c r="W23" s="7"/>
      <c r="X23" s="7"/>
      <c r="Y23" s="7"/>
      <c r="Z23" s="7"/>
      <c r="AA23" s="7"/>
      <c r="AB23" s="80"/>
      <c r="AC23" s="7"/>
      <c r="AD23" s="7"/>
      <c r="AE23" s="7"/>
      <c r="AF23" s="80"/>
      <c r="AG23" s="7"/>
      <c r="AH23" s="7"/>
      <c r="AI23" s="7"/>
      <c r="AJ23" s="80"/>
      <c r="AK23" s="7"/>
      <c r="AL23" s="7"/>
      <c r="AM23" s="7"/>
      <c r="AN23" s="7"/>
      <c r="AO23" s="7"/>
      <c r="AP23" s="7"/>
      <c r="AQ23" s="13" t="s">
        <v>1410</v>
      </c>
      <c r="AR23" s="13">
        <v>515.09</v>
      </c>
      <c r="AS23" s="7"/>
      <c r="AT23" s="13">
        <v>514.04999999999995</v>
      </c>
      <c r="AU23" s="7"/>
      <c r="AV23" s="7"/>
      <c r="AW23" s="13" t="s">
        <v>1173</v>
      </c>
      <c r="AX23" s="7"/>
      <c r="AY23" s="7"/>
      <c r="AZ23" s="7"/>
      <c r="BA23" s="7"/>
      <c r="BB23" s="13" t="s">
        <v>1168</v>
      </c>
      <c r="BC23" s="7"/>
      <c r="BD23" s="7"/>
      <c r="BE23" s="7"/>
      <c r="BF23" s="7"/>
      <c r="BG23" s="7"/>
      <c r="BH23" s="13" t="s">
        <v>1163</v>
      </c>
      <c r="BI23" s="7"/>
      <c r="BJ23" s="7"/>
      <c r="BK23" s="7"/>
      <c r="BL23" s="7"/>
      <c r="BM23" s="7"/>
      <c r="BN23" s="13">
        <v>512.01</v>
      </c>
      <c r="BO23" s="7"/>
      <c r="BP23" s="7"/>
      <c r="BQ23" s="13" t="s">
        <v>825</v>
      </c>
      <c r="BR23" s="13">
        <v>415.09</v>
      </c>
      <c r="BS23" s="7"/>
      <c r="BT23" s="13">
        <v>414.05</v>
      </c>
      <c r="BU23" s="7"/>
      <c r="BV23" s="7"/>
      <c r="BW23" s="7"/>
      <c r="BX23" s="13" t="s">
        <v>571</v>
      </c>
      <c r="BY23" s="7"/>
      <c r="BZ23" s="7"/>
      <c r="CA23" s="7"/>
      <c r="CB23" s="7"/>
      <c r="CC23" s="7"/>
      <c r="CD23" s="13" t="s">
        <v>578</v>
      </c>
      <c r="CE23" s="7"/>
      <c r="CF23" s="7"/>
      <c r="CG23" s="7"/>
      <c r="CH23" s="13" t="s">
        <v>583</v>
      </c>
      <c r="CI23" s="7"/>
      <c r="CJ23" s="7"/>
      <c r="CK23" s="7"/>
      <c r="CL23" s="7"/>
      <c r="CM23" s="7"/>
      <c r="CN23" s="13">
        <v>412.01</v>
      </c>
      <c r="CO23" s="50"/>
      <c r="CP23" s="50"/>
      <c r="CQ23" s="50"/>
      <c r="CR23" s="50"/>
      <c r="CS23" s="13" t="s">
        <v>2594</v>
      </c>
      <c r="CT23" s="7"/>
      <c r="CU23" s="7"/>
      <c r="CV23" s="7"/>
      <c r="CW23" s="7"/>
      <c r="CX23" s="7"/>
      <c r="CY23" s="7"/>
      <c r="CZ23" s="7"/>
      <c r="DA23" s="13">
        <v>210</v>
      </c>
      <c r="DB23" s="7"/>
      <c r="DC23" s="13">
        <v>212.07</v>
      </c>
      <c r="DD23" s="7"/>
      <c r="DE23" s="80"/>
      <c r="DF23" s="7"/>
      <c r="DG23" s="7"/>
      <c r="DH23" s="7"/>
      <c r="DI23" s="7"/>
      <c r="DJ23" s="7"/>
      <c r="DK23" s="7"/>
      <c r="DL23" s="80"/>
      <c r="DM23" s="7"/>
      <c r="DN23" s="7"/>
      <c r="DO23" s="80"/>
      <c r="DP23" s="80"/>
      <c r="DQ23" s="7"/>
      <c r="DR23" s="7"/>
      <c r="DS23" s="7"/>
      <c r="DT23" s="80"/>
      <c r="DU23" s="7"/>
      <c r="DV23" s="7"/>
      <c r="DW23" s="114"/>
      <c r="DX23" s="7"/>
      <c r="DY23" s="7"/>
      <c r="DZ23" s="7"/>
      <c r="EA23" s="7"/>
      <c r="EB23" s="7"/>
      <c r="EC23" s="7"/>
      <c r="ED23" s="114"/>
      <c r="EE23" s="7"/>
      <c r="EF23" s="7"/>
      <c r="EG23" s="114"/>
      <c r="EH23" s="114"/>
      <c r="EI23" s="7"/>
      <c r="EJ23" s="7"/>
      <c r="EK23" s="7"/>
      <c r="EL23" s="114"/>
      <c r="EM23" s="7"/>
      <c r="EN23" s="7"/>
      <c r="EO23" s="7"/>
      <c r="EP23" s="7"/>
      <c r="EQ23" s="7"/>
      <c r="ER23" s="68" t="s">
        <v>2584</v>
      </c>
    </row>
    <row r="24" spans="1:148" ht="16.5" thickTop="1" thickBot="1" x14ac:dyDescent="0.3">
      <c r="A24" s="26"/>
      <c r="B24" s="32"/>
      <c r="C24" s="32"/>
      <c r="D24" s="27"/>
      <c r="E24" s="53"/>
      <c r="F24" s="142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80"/>
      <c r="AC24" s="7"/>
      <c r="AD24" s="7"/>
      <c r="AE24" s="7"/>
      <c r="AF24" s="80"/>
      <c r="AG24" s="7"/>
      <c r="AH24" s="7"/>
      <c r="AI24" s="7"/>
      <c r="AJ24" s="80"/>
      <c r="AK24" s="7"/>
      <c r="AL24" s="7"/>
      <c r="AM24" s="7"/>
      <c r="AN24" s="7"/>
      <c r="AO24" s="7"/>
      <c r="AP24" s="7"/>
      <c r="AQ24" s="7"/>
      <c r="AR24" s="13">
        <v>515.08000000000004</v>
      </c>
      <c r="AS24" s="7"/>
      <c r="AT24" s="13">
        <v>514.05999999999995</v>
      </c>
      <c r="AU24" s="7"/>
      <c r="AV24" s="7"/>
      <c r="AW24" s="13" t="s">
        <v>1156</v>
      </c>
      <c r="AX24" s="7"/>
      <c r="AY24" s="7"/>
      <c r="AZ24" s="7"/>
      <c r="BA24" s="7"/>
      <c r="BB24" s="13" t="s">
        <v>1149</v>
      </c>
      <c r="BC24" s="7"/>
      <c r="BD24" s="7"/>
      <c r="BE24" s="7"/>
      <c r="BF24" s="7"/>
      <c r="BG24" s="7"/>
      <c r="BH24" s="13" t="s">
        <v>1142</v>
      </c>
      <c r="BI24" s="7"/>
      <c r="BJ24" s="7"/>
      <c r="BK24" s="7"/>
      <c r="BL24" s="7"/>
      <c r="BM24" s="7"/>
      <c r="BN24" s="79" t="s">
        <v>1114</v>
      </c>
      <c r="BO24" s="7"/>
      <c r="BP24" s="7"/>
      <c r="BQ24" s="7"/>
      <c r="BR24" s="13">
        <v>415.08</v>
      </c>
      <c r="BS24" s="7"/>
      <c r="BT24" s="13">
        <v>414.06</v>
      </c>
      <c r="BU24" s="7"/>
      <c r="BV24" s="7"/>
      <c r="BW24" s="7"/>
      <c r="BX24" s="13" t="s">
        <v>564</v>
      </c>
      <c r="BY24" s="7"/>
      <c r="BZ24" s="7"/>
      <c r="CA24" s="7"/>
      <c r="CB24" s="7"/>
      <c r="CC24" s="7"/>
      <c r="CD24" s="13" t="s">
        <v>556</v>
      </c>
      <c r="CE24" s="7"/>
      <c r="CF24" s="7"/>
      <c r="CG24" s="7"/>
      <c r="CH24" s="13" t="s">
        <v>549</v>
      </c>
      <c r="CI24" s="7"/>
      <c r="CJ24" s="7"/>
      <c r="CK24" s="7"/>
      <c r="CL24" s="7"/>
      <c r="CM24" s="7"/>
      <c r="CN24" s="79" t="s">
        <v>522</v>
      </c>
      <c r="CO24" s="50"/>
      <c r="CP24" s="50"/>
      <c r="CQ24" s="50"/>
      <c r="CR24" s="50"/>
      <c r="CS24" s="13" t="s">
        <v>2596</v>
      </c>
      <c r="CT24" s="7"/>
      <c r="CU24" s="7"/>
      <c r="CV24" s="7"/>
      <c r="CW24" s="7"/>
      <c r="CX24" s="7"/>
      <c r="CY24" s="7"/>
      <c r="CZ24" s="7"/>
      <c r="DA24" s="13" t="s">
        <v>271</v>
      </c>
      <c r="DB24" s="7"/>
      <c r="DC24" s="79" t="s">
        <v>314</v>
      </c>
      <c r="DD24" s="7"/>
      <c r="DE24" s="80"/>
      <c r="DF24" s="7"/>
      <c r="DG24" s="7"/>
      <c r="DH24" s="7"/>
      <c r="DI24" s="7"/>
      <c r="DJ24" s="7"/>
      <c r="DK24" s="7"/>
      <c r="DL24" s="80"/>
      <c r="DM24" s="7"/>
      <c r="DN24" s="7"/>
      <c r="DO24" s="80"/>
      <c r="DP24" s="80"/>
      <c r="DQ24" s="7"/>
      <c r="DR24" s="7"/>
      <c r="DS24" s="7"/>
      <c r="DT24" s="80"/>
      <c r="DU24" s="7"/>
      <c r="DV24" s="7"/>
      <c r="DW24" s="114"/>
      <c r="DX24" s="7"/>
      <c r="DY24" s="7"/>
      <c r="DZ24" s="7"/>
      <c r="EA24" s="7"/>
      <c r="EB24" s="7"/>
      <c r="EC24" s="7"/>
      <c r="ED24" s="114"/>
      <c r="EE24" s="7"/>
      <c r="EF24" s="7"/>
      <c r="EG24" s="114"/>
      <c r="EH24" s="114"/>
      <c r="EI24" s="7"/>
      <c r="EJ24" s="7"/>
      <c r="EK24" s="7"/>
      <c r="EL24" s="114"/>
      <c r="EM24" s="7"/>
      <c r="EN24" s="7"/>
      <c r="EO24" s="7"/>
      <c r="EP24" s="7"/>
      <c r="EQ24" s="7"/>
      <c r="ER24" s="68" t="s">
        <v>2586</v>
      </c>
    </row>
    <row r="25" spans="1:148" ht="15.75" thickBot="1" x14ac:dyDescent="0.3">
      <c r="A25" s="26"/>
      <c r="B25" s="32"/>
      <c r="C25" s="32"/>
      <c r="D25" s="27"/>
      <c r="E25" s="53"/>
      <c r="F25" s="143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80"/>
      <c r="AC25" s="7"/>
      <c r="AD25" s="7"/>
      <c r="AE25" s="7"/>
      <c r="AF25" s="80"/>
      <c r="AG25" s="7"/>
      <c r="AH25" s="7"/>
      <c r="AI25" s="7"/>
      <c r="AJ25" s="80"/>
      <c r="AK25" s="7"/>
      <c r="AL25" s="7"/>
      <c r="AM25" s="7"/>
      <c r="AN25" s="7"/>
      <c r="AO25" s="7"/>
      <c r="AP25" s="7"/>
      <c r="AQ25" s="7"/>
      <c r="AR25" s="13">
        <v>515.04999999999995</v>
      </c>
      <c r="AS25" s="7"/>
      <c r="AT25" s="79">
        <v>514.07000000000005</v>
      </c>
      <c r="AU25" s="7"/>
      <c r="AV25" s="7"/>
      <c r="AW25" s="82" t="s">
        <v>1136</v>
      </c>
      <c r="AX25" s="7"/>
      <c r="AY25" s="7"/>
      <c r="AZ25" s="7"/>
      <c r="BA25" s="7"/>
      <c r="BB25" s="82" t="s">
        <v>1130</v>
      </c>
      <c r="BC25" s="7"/>
      <c r="BD25" s="7"/>
      <c r="BE25" s="7"/>
      <c r="BF25" s="7"/>
      <c r="BG25" s="7"/>
      <c r="BH25" s="82" t="s">
        <v>1123</v>
      </c>
      <c r="BI25" s="7"/>
      <c r="BJ25" s="7"/>
      <c r="BK25" s="7"/>
      <c r="BL25" s="7"/>
      <c r="BM25" s="7"/>
      <c r="BN25" s="80"/>
      <c r="BO25" s="7"/>
      <c r="BP25" s="7"/>
      <c r="BQ25" s="7"/>
      <c r="BR25" s="13">
        <v>415.05</v>
      </c>
      <c r="BS25" s="7"/>
      <c r="BT25" s="79">
        <v>414.07</v>
      </c>
      <c r="BU25" s="7"/>
      <c r="BV25" s="7"/>
      <c r="BW25" s="7"/>
      <c r="BX25" s="82" t="s">
        <v>543</v>
      </c>
      <c r="BY25" s="7"/>
      <c r="BZ25" s="7"/>
      <c r="CA25" s="7"/>
      <c r="CB25" s="7"/>
      <c r="CC25" s="7"/>
      <c r="CD25" s="82" t="s">
        <v>537</v>
      </c>
      <c r="CE25" s="7"/>
      <c r="CF25" s="7"/>
      <c r="CG25" s="7"/>
      <c r="CH25" s="82" t="s">
        <v>531</v>
      </c>
      <c r="CI25" s="7"/>
      <c r="CJ25" s="7"/>
      <c r="CK25" s="7"/>
      <c r="CL25" s="7"/>
      <c r="CM25" s="7"/>
      <c r="CN25" s="80"/>
      <c r="CO25" s="50"/>
      <c r="CP25" s="50"/>
      <c r="CQ25" s="50"/>
      <c r="CR25" s="50"/>
      <c r="CS25" s="59" t="s">
        <v>2597</v>
      </c>
      <c r="CT25" s="7"/>
      <c r="CU25" s="7"/>
      <c r="CV25" s="7"/>
      <c r="CW25" s="7"/>
      <c r="CX25" s="7"/>
      <c r="CY25" s="7"/>
      <c r="CZ25" s="7"/>
      <c r="DA25" s="13" t="s">
        <v>278</v>
      </c>
      <c r="DB25" s="7"/>
      <c r="DC25" s="81"/>
      <c r="DD25" s="7"/>
      <c r="DE25" s="80"/>
      <c r="DF25" s="7"/>
      <c r="DG25" s="7"/>
      <c r="DH25" s="7"/>
      <c r="DI25" s="7"/>
      <c r="DJ25" s="7"/>
      <c r="DK25" s="7"/>
      <c r="DL25" s="80"/>
      <c r="DM25" s="7"/>
      <c r="DN25" s="7"/>
      <c r="DO25" s="80"/>
      <c r="DP25" s="80"/>
      <c r="DQ25" s="7"/>
      <c r="DR25" s="7"/>
      <c r="DS25" s="7"/>
      <c r="DT25" s="80"/>
      <c r="DU25" s="7"/>
      <c r="DV25" s="7"/>
      <c r="DW25" s="114"/>
      <c r="DX25" s="7"/>
      <c r="DY25" s="7"/>
      <c r="DZ25" s="7"/>
      <c r="EA25" s="7"/>
      <c r="EB25" s="7"/>
      <c r="EC25" s="7"/>
      <c r="ED25" s="114"/>
      <c r="EE25" s="7"/>
      <c r="EF25" s="7"/>
      <c r="EG25" s="114"/>
      <c r="EH25" s="114"/>
      <c r="EI25" s="7"/>
      <c r="EJ25" s="7"/>
      <c r="EK25" s="7"/>
      <c r="EL25" s="114"/>
      <c r="EM25" s="7"/>
      <c r="EN25" s="7"/>
      <c r="EO25" s="7"/>
      <c r="EP25" s="7"/>
      <c r="EQ25" s="7"/>
      <c r="ER25" s="68" t="s">
        <v>2588</v>
      </c>
    </row>
    <row r="26" spans="1:148" ht="15.75" thickBot="1" x14ac:dyDescent="0.3">
      <c r="A26" s="26"/>
      <c r="B26" s="32"/>
      <c r="C26" s="32"/>
      <c r="D26" s="27"/>
      <c r="E26" s="53"/>
      <c r="F26" s="19">
        <v>1068</v>
      </c>
      <c r="G26" s="20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80"/>
      <c r="AC26" s="7"/>
      <c r="AD26" s="7"/>
      <c r="AE26" s="7"/>
      <c r="AF26" s="80"/>
      <c r="AG26" s="7"/>
      <c r="AH26" s="7"/>
      <c r="AI26" s="7"/>
      <c r="AJ26" s="80"/>
      <c r="AK26" s="7"/>
      <c r="AL26" s="7"/>
      <c r="AM26" s="7"/>
      <c r="AN26" s="7"/>
      <c r="AO26" s="7"/>
      <c r="AP26" s="7"/>
      <c r="AQ26" s="7"/>
      <c r="AR26" s="13">
        <v>515.04</v>
      </c>
      <c r="AS26" s="7"/>
      <c r="AT26" s="81"/>
      <c r="AU26" s="7"/>
      <c r="AV26" s="7"/>
      <c r="AW26" s="83"/>
      <c r="AX26" s="7"/>
      <c r="AY26" s="7"/>
      <c r="AZ26" s="7"/>
      <c r="BA26" s="7"/>
      <c r="BB26" s="83"/>
      <c r="BC26" s="7"/>
      <c r="BD26" s="7"/>
      <c r="BE26" s="7"/>
      <c r="BF26" s="7"/>
      <c r="BG26" s="7"/>
      <c r="BH26" s="83"/>
      <c r="BI26" s="7"/>
      <c r="BJ26" s="7"/>
      <c r="BK26" s="7"/>
      <c r="BL26" s="7"/>
      <c r="BM26" s="7"/>
      <c r="BN26" s="80"/>
      <c r="BO26" s="7"/>
      <c r="BP26" s="7"/>
      <c r="BQ26" s="7"/>
      <c r="BR26" s="13">
        <v>415.04</v>
      </c>
      <c r="BS26" s="7"/>
      <c r="BT26" s="81"/>
      <c r="BU26" s="7"/>
      <c r="BV26" s="7"/>
      <c r="BW26" s="7"/>
      <c r="BX26" s="83"/>
      <c r="BY26" s="7"/>
      <c r="BZ26" s="7"/>
      <c r="CA26" s="7"/>
      <c r="CB26" s="7"/>
      <c r="CC26" s="7"/>
      <c r="CD26" s="83"/>
      <c r="CE26" s="7"/>
      <c r="CF26" s="7"/>
      <c r="CG26" s="7"/>
      <c r="CH26" s="83"/>
      <c r="CI26" s="7"/>
      <c r="CJ26" s="7"/>
      <c r="CK26" s="7"/>
      <c r="CL26" s="7"/>
      <c r="CM26" s="7"/>
      <c r="CN26" s="80"/>
      <c r="CO26" s="50"/>
      <c r="CP26" s="50"/>
      <c r="CQ26" s="50"/>
      <c r="CR26" s="50"/>
      <c r="CS26" s="7"/>
      <c r="CT26" s="7"/>
      <c r="CU26" s="7"/>
      <c r="CV26" s="7"/>
      <c r="CW26" s="7"/>
      <c r="CX26" s="7"/>
      <c r="CY26" s="7"/>
      <c r="CZ26" s="7"/>
      <c r="DA26" s="13" t="s">
        <v>273</v>
      </c>
      <c r="DB26" s="7"/>
      <c r="DC26" s="82">
        <v>212.05</v>
      </c>
      <c r="DD26" s="7"/>
      <c r="DE26" s="81"/>
      <c r="DF26" s="7"/>
      <c r="DG26" s="7"/>
      <c r="DH26" s="7"/>
      <c r="DI26" s="7"/>
      <c r="DJ26" s="7"/>
      <c r="DK26" s="7"/>
      <c r="DL26" s="81"/>
      <c r="DM26" s="7"/>
      <c r="DN26" s="7"/>
      <c r="DO26" s="81"/>
      <c r="DP26" s="81"/>
      <c r="DQ26" s="7"/>
      <c r="DR26" s="7"/>
      <c r="DS26" s="7"/>
      <c r="DT26" s="81"/>
      <c r="DU26" s="7"/>
      <c r="DV26" s="7"/>
      <c r="DW26" s="115"/>
      <c r="DX26" s="7"/>
      <c r="DY26" s="7"/>
      <c r="DZ26" s="7"/>
      <c r="EA26" s="7"/>
      <c r="EB26" s="7"/>
      <c r="EC26" s="7"/>
      <c r="ED26" s="115"/>
      <c r="EE26" s="7"/>
      <c r="EF26" s="7"/>
      <c r="EG26" s="115"/>
      <c r="EH26" s="115"/>
      <c r="EI26" s="7"/>
      <c r="EJ26" s="7"/>
      <c r="EK26" s="7"/>
      <c r="EL26" s="115"/>
      <c r="EN26" s="7"/>
      <c r="EO26" s="7"/>
      <c r="EP26" s="7"/>
      <c r="EQ26" s="7"/>
      <c r="ER26" s="68" t="s">
        <v>2591</v>
      </c>
    </row>
    <row r="27" spans="1:148" ht="15.75" thickBot="1" x14ac:dyDescent="0.3">
      <c r="A27" s="33"/>
      <c r="B27" s="34"/>
      <c r="C27" s="34"/>
      <c r="D27" s="35"/>
      <c r="E27" s="53"/>
      <c r="F27" s="17">
        <v>1068</v>
      </c>
      <c r="G27" s="2">
        <v>1068</v>
      </c>
      <c r="H27" s="77">
        <v>1070</v>
      </c>
      <c r="I27" s="78"/>
      <c r="J27" s="78"/>
      <c r="K27" s="78"/>
      <c r="L27" s="78"/>
      <c r="M27" s="78"/>
      <c r="N27" s="78"/>
      <c r="O27" s="78"/>
      <c r="P27" s="78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80"/>
      <c r="AC27" s="7"/>
      <c r="AD27" s="7"/>
      <c r="AE27" s="7"/>
      <c r="AF27" s="80"/>
      <c r="AG27" s="7"/>
      <c r="AH27" s="7"/>
      <c r="AI27" s="7"/>
      <c r="AJ27" s="80"/>
      <c r="AK27" s="7"/>
      <c r="AL27" s="7"/>
      <c r="AM27" s="7"/>
      <c r="AN27" s="7"/>
      <c r="AO27" s="7"/>
      <c r="AP27" s="7"/>
      <c r="AQ27" s="7"/>
      <c r="AR27" s="13">
        <v>515.03</v>
      </c>
      <c r="AS27" s="7"/>
      <c r="AT27" s="13">
        <v>514.08000000000004</v>
      </c>
      <c r="AU27" s="7"/>
      <c r="AV27" s="7"/>
      <c r="AW27" s="83"/>
      <c r="AX27" s="7"/>
      <c r="AY27" s="7"/>
      <c r="AZ27" s="7"/>
      <c r="BA27" s="7"/>
      <c r="BB27" s="83"/>
      <c r="BC27" s="7"/>
      <c r="BD27" s="7"/>
      <c r="BE27" s="7"/>
      <c r="BF27" s="7"/>
      <c r="BG27" s="7"/>
      <c r="BH27" s="83"/>
      <c r="BI27" s="7"/>
      <c r="BJ27" s="7"/>
      <c r="BK27" s="7"/>
      <c r="BL27" s="7"/>
      <c r="BM27" s="7"/>
      <c r="BN27" s="80"/>
      <c r="BO27" s="7"/>
      <c r="BP27" s="7"/>
      <c r="BQ27" s="7"/>
      <c r="BR27" s="13">
        <v>415.03</v>
      </c>
      <c r="BS27" s="7"/>
      <c r="BT27" s="13">
        <v>414.08</v>
      </c>
      <c r="BU27" s="7"/>
      <c r="BV27" s="7"/>
      <c r="BW27" s="7"/>
      <c r="BX27" s="83"/>
      <c r="BY27" s="7"/>
      <c r="BZ27" s="7"/>
      <c r="CA27" s="7"/>
      <c r="CB27" s="7"/>
      <c r="CC27" s="7"/>
      <c r="CD27" s="83"/>
      <c r="CE27" s="7"/>
      <c r="CF27" s="7"/>
      <c r="CG27" s="7"/>
      <c r="CH27" s="83"/>
      <c r="CI27" s="7"/>
      <c r="CJ27" s="7"/>
      <c r="CK27" s="7"/>
      <c r="CL27" s="7"/>
      <c r="CM27" s="7"/>
      <c r="CN27" s="80"/>
      <c r="CO27" s="50"/>
      <c r="CP27" s="50"/>
      <c r="CQ27" s="50"/>
      <c r="CR27" s="50"/>
      <c r="CS27" s="7"/>
      <c r="CT27" s="7"/>
      <c r="CU27" s="7"/>
      <c r="CV27" s="7"/>
      <c r="CW27" s="7"/>
      <c r="CX27" s="7"/>
      <c r="CY27" s="7"/>
      <c r="CZ27" s="7"/>
      <c r="DA27" s="13">
        <v>212.01</v>
      </c>
      <c r="DC27" s="84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R27" s="69" t="s">
        <v>2593</v>
      </c>
    </row>
    <row r="28" spans="1:148" ht="16.5" thickTop="1" thickBot="1" x14ac:dyDescent="0.3"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80"/>
      <c r="AC28" s="7"/>
      <c r="AD28" s="7"/>
      <c r="AE28" s="7"/>
      <c r="AF28" s="80"/>
      <c r="AG28" s="7"/>
      <c r="AH28" s="7"/>
      <c r="AI28" s="7"/>
      <c r="AJ28" s="80"/>
      <c r="AK28" s="7"/>
      <c r="AL28" s="7"/>
      <c r="AM28" s="7"/>
      <c r="AN28" s="7"/>
      <c r="AO28" s="7"/>
      <c r="AP28" s="7"/>
      <c r="AQ28" s="7"/>
      <c r="AR28" s="13">
        <v>515.02</v>
      </c>
      <c r="AS28" s="7"/>
      <c r="AT28" s="13">
        <v>514.09</v>
      </c>
      <c r="AU28" s="7"/>
      <c r="AV28" s="7"/>
      <c r="AW28" s="83"/>
      <c r="AX28" s="7"/>
      <c r="AY28" s="7"/>
      <c r="AZ28" s="7"/>
      <c r="BA28" s="7"/>
      <c r="BB28" s="83"/>
      <c r="BC28" s="7"/>
      <c r="BD28" s="7"/>
      <c r="BE28" s="7"/>
      <c r="BF28" s="7"/>
      <c r="BG28" s="7"/>
      <c r="BH28" s="83"/>
      <c r="BI28" s="7"/>
      <c r="BJ28" s="7"/>
      <c r="BK28" s="7"/>
      <c r="BL28" s="7"/>
      <c r="BM28" s="7"/>
      <c r="BN28" s="80"/>
      <c r="BO28" s="7"/>
      <c r="BP28" s="7"/>
      <c r="BQ28" s="7"/>
      <c r="BR28" s="13">
        <v>415.02</v>
      </c>
      <c r="BS28" s="7"/>
      <c r="BT28" s="13">
        <v>414.09</v>
      </c>
      <c r="BU28" s="7"/>
      <c r="BV28" s="7"/>
      <c r="BW28" s="7"/>
      <c r="BX28" s="83"/>
      <c r="BY28" s="7"/>
      <c r="BZ28" s="7"/>
      <c r="CA28" s="7"/>
      <c r="CB28" s="7"/>
      <c r="CC28" s="7"/>
      <c r="CD28" s="83"/>
      <c r="CE28" s="7"/>
      <c r="CF28" s="7"/>
      <c r="CG28" s="7"/>
      <c r="CH28" s="83"/>
      <c r="CI28" s="7"/>
      <c r="CJ28" s="7"/>
      <c r="CK28" s="7"/>
      <c r="CL28" s="7"/>
      <c r="CM28" s="7"/>
      <c r="CN28" s="80"/>
      <c r="CO28" s="50"/>
      <c r="CP28" s="50"/>
      <c r="CQ28" s="50"/>
      <c r="CR28" s="50"/>
      <c r="CS28" s="7"/>
      <c r="CT28" s="7"/>
      <c r="CU28" s="7"/>
      <c r="CV28" s="7"/>
      <c r="CW28" s="7"/>
      <c r="CX28" s="7"/>
      <c r="CY28" s="7"/>
      <c r="CZ28" s="7"/>
      <c r="DA28" s="13">
        <v>212.02</v>
      </c>
      <c r="DB28" s="13">
        <v>212.03</v>
      </c>
      <c r="DC28" s="13">
        <v>212.04</v>
      </c>
      <c r="DD28" s="7"/>
      <c r="DE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1" t="s">
        <v>2647</v>
      </c>
      <c r="EQ28" s="71" t="s">
        <v>2630</v>
      </c>
      <c r="ER28" s="68" t="s">
        <v>2595</v>
      </c>
    </row>
    <row r="29" spans="1:148" ht="15.75" thickBot="1" x14ac:dyDescent="0.3"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80"/>
      <c r="AC29" s="7"/>
      <c r="AD29" s="7"/>
      <c r="AE29" s="7"/>
      <c r="AF29" s="80"/>
      <c r="AG29" s="7"/>
      <c r="AH29" s="7"/>
      <c r="AI29" s="7"/>
      <c r="AJ29" s="80"/>
      <c r="AK29" s="7"/>
      <c r="AL29" s="7"/>
      <c r="AM29" s="7"/>
      <c r="AN29" s="7"/>
      <c r="AO29" s="7"/>
      <c r="AP29" s="7"/>
      <c r="AQ29" s="7"/>
      <c r="AR29" s="13">
        <v>515.01</v>
      </c>
      <c r="AS29" s="7"/>
      <c r="AT29" s="13" t="s">
        <v>1340</v>
      </c>
      <c r="AU29" s="7"/>
      <c r="AV29" s="7"/>
      <c r="AW29" s="83"/>
      <c r="AX29" s="7"/>
      <c r="AY29" s="7"/>
      <c r="AZ29" s="7"/>
      <c r="BA29" s="7"/>
      <c r="BB29" s="83"/>
      <c r="BC29" s="7"/>
      <c r="BD29" s="7"/>
      <c r="BE29" s="7"/>
      <c r="BF29" s="7"/>
      <c r="BG29" s="7"/>
      <c r="BH29" s="83"/>
      <c r="BI29" s="7"/>
      <c r="BJ29" s="7"/>
      <c r="BK29" s="7"/>
      <c r="BL29" s="7"/>
      <c r="BM29" s="7"/>
      <c r="BN29" s="80"/>
      <c r="BO29" s="7"/>
      <c r="BP29" s="7"/>
      <c r="BQ29" s="7"/>
      <c r="BR29" s="13">
        <v>415.01</v>
      </c>
      <c r="BS29" s="7"/>
      <c r="BT29" s="13" t="s">
        <v>748</v>
      </c>
      <c r="BU29" s="7"/>
      <c r="BV29" s="7"/>
      <c r="BW29" s="7"/>
      <c r="BX29" s="83"/>
      <c r="BY29" s="7"/>
      <c r="BZ29" s="7"/>
      <c r="CA29" s="7"/>
      <c r="CB29" s="7"/>
      <c r="CC29" s="7"/>
      <c r="CD29" s="83"/>
      <c r="CE29" s="7"/>
      <c r="CF29" s="7"/>
      <c r="CG29" s="7"/>
      <c r="CH29" s="83"/>
      <c r="CI29" s="7"/>
      <c r="CJ29" s="7"/>
      <c r="CK29" s="7"/>
      <c r="CL29" s="7"/>
      <c r="CM29" s="7"/>
      <c r="CN29" s="80"/>
      <c r="CO29" s="50"/>
      <c r="CP29" s="50"/>
      <c r="CQ29" s="50"/>
      <c r="CR29" s="50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</row>
    <row r="30" spans="1:148" ht="15.75" thickBot="1" x14ac:dyDescent="0.3"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81"/>
      <c r="AC30" s="7"/>
      <c r="AD30" s="7"/>
      <c r="AE30" s="7"/>
      <c r="AF30" s="81"/>
      <c r="AG30" s="7"/>
      <c r="AH30" s="7"/>
      <c r="AI30" s="7"/>
      <c r="AJ30" s="81"/>
      <c r="AK30" s="7"/>
      <c r="AL30" s="7"/>
      <c r="AM30" s="7"/>
      <c r="AN30" s="7"/>
      <c r="AO30" s="7"/>
      <c r="AP30" s="7"/>
      <c r="AQ30" s="7"/>
      <c r="AR30" s="3">
        <v>514.13</v>
      </c>
      <c r="AS30" s="13">
        <v>514.12</v>
      </c>
      <c r="AT30" s="13">
        <v>514.11</v>
      </c>
      <c r="AU30" s="7"/>
      <c r="AV30" s="7"/>
      <c r="AW30" s="84"/>
      <c r="AX30" s="7"/>
      <c r="AY30" s="7"/>
      <c r="AZ30" s="7"/>
      <c r="BA30" s="7"/>
      <c r="BB30" s="84"/>
      <c r="BC30" s="7"/>
      <c r="BD30" s="7"/>
      <c r="BE30" s="7"/>
      <c r="BF30" s="7"/>
      <c r="BG30" s="7"/>
      <c r="BH30" s="84"/>
      <c r="BI30" s="7"/>
      <c r="BJ30" s="7"/>
      <c r="BK30" s="7"/>
      <c r="BL30" s="7"/>
      <c r="BM30" s="7"/>
      <c r="BN30" s="81"/>
      <c r="BO30" s="7"/>
      <c r="BP30" s="7"/>
      <c r="BQ30" s="7"/>
      <c r="BR30" s="13">
        <v>414.13</v>
      </c>
      <c r="BS30" s="13">
        <v>414.12</v>
      </c>
      <c r="BT30" s="13">
        <v>414.11</v>
      </c>
      <c r="BU30" s="7"/>
      <c r="BV30" s="7"/>
      <c r="BW30" s="7"/>
      <c r="BX30" s="84"/>
      <c r="BY30" s="7"/>
      <c r="BZ30" s="7"/>
      <c r="CA30" s="7"/>
      <c r="CB30" s="7"/>
      <c r="CC30" s="7"/>
      <c r="CD30" s="84"/>
      <c r="CE30" s="7"/>
      <c r="CF30" s="7"/>
      <c r="CG30" s="7"/>
      <c r="CH30" s="84"/>
      <c r="CI30" s="7"/>
      <c r="CJ30" s="7"/>
      <c r="CK30" s="7"/>
      <c r="CL30" s="7"/>
      <c r="CM30" s="7"/>
      <c r="CN30" s="81"/>
      <c r="CO30" s="50"/>
      <c r="CP30" s="50"/>
      <c r="CQ30" s="50"/>
      <c r="CR30" s="50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</row>
    <row r="32" spans="1:148" x14ac:dyDescent="0.25">
      <c r="ER32" s="25" t="s">
        <v>2602</v>
      </c>
    </row>
    <row r="33" spans="148:148" x14ac:dyDescent="0.25">
      <c r="ER33" s="25" t="s">
        <v>2603</v>
      </c>
    </row>
    <row r="34" spans="148:148" x14ac:dyDescent="0.25">
      <c r="ER34" s="25" t="s">
        <v>2604</v>
      </c>
    </row>
    <row r="35" spans="148:148" x14ac:dyDescent="0.25">
      <c r="ER35" s="25" t="s">
        <v>2605</v>
      </c>
    </row>
    <row r="36" spans="148:148" x14ac:dyDescent="0.25">
      <c r="ER36" s="25" t="s">
        <v>2606</v>
      </c>
    </row>
    <row r="37" spans="148:148" x14ac:dyDescent="0.25">
      <c r="ER37" s="25" t="s">
        <v>2607</v>
      </c>
    </row>
    <row r="38" spans="148:148" x14ac:dyDescent="0.25">
      <c r="ER38" s="25" t="s">
        <v>2608</v>
      </c>
    </row>
    <row r="41" spans="148:148" x14ac:dyDescent="0.25">
      <c r="ER41" s="25" t="s">
        <v>2609</v>
      </c>
    </row>
    <row r="42" spans="148:148" x14ac:dyDescent="0.25">
      <c r="ER42" s="25" t="s">
        <v>2610</v>
      </c>
    </row>
    <row r="43" spans="148:148" x14ac:dyDescent="0.25">
      <c r="ER43" s="25" t="s">
        <v>2611</v>
      </c>
    </row>
    <row r="44" spans="148:148" x14ac:dyDescent="0.25">
      <c r="ER44" s="25" t="s">
        <v>2612</v>
      </c>
    </row>
    <row r="45" spans="148:148" x14ac:dyDescent="0.25">
      <c r="ER45" s="25" t="s">
        <v>2613</v>
      </c>
    </row>
    <row r="46" spans="148:148" x14ac:dyDescent="0.25">
      <c r="ER46" s="25" t="s">
        <v>2614</v>
      </c>
    </row>
    <row r="47" spans="148:148" x14ac:dyDescent="0.25">
      <c r="ER47" s="25" t="s">
        <v>2615</v>
      </c>
    </row>
    <row r="50" spans="146:148" x14ac:dyDescent="0.25">
      <c r="ER50" s="25" t="s">
        <v>2616</v>
      </c>
    </row>
    <row r="51" spans="146:148" ht="15.75" thickBot="1" x14ac:dyDescent="0.3">
      <c r="ER51" s="25" t="s">
        <v>2617</v>
      </c>
    </row>
    <row r="52" spans="146:148" ht="15.75" thickBot="1" x14ac:dyDescent="0.3">
      <c r="EP52" s="70" t="s">
        <v>2410</v>
      </c>
      <c r="EQ52" s="70" t="s">
        <v>2425</v>
      </c>
      <c r="ER52" s="25" t="s">
        <v>2619</v>
      </c>
    </row>
    <row r="53" spans="146:148" x14ac:dyDescent="0.25">
      <c r="ER53" s="25" t="s">
        <v>2620</v>
      </c>
    </row>
    <row r="54" spans="146:148" x14ac:dyDescent="0.25">
      <c r="ER54" s="25" t="s">
        <v>2621</v>
      </c>
    </row>
    <row r="55" spans="146:148" x14ac:dyDescent="0.25">
      <c r="ER55" s="25" t="s">
        <v>2622</v>
      </c>
    </row>
    <row r="56" spans="146:148" x14ac:dyDescent="0.25">
      <c r="ER56" s="25" t="s">
        <v>2623</v>
      </c>
    </row>
    <row r="59" spans="146:148" x14ac:dyDescent="0.25">
      <c r="ER59" s="25" t="s">
        <v>2624</v>
      </c>
    </row>
    <row r="60" spans="146:148" x14ac:dyDescent="0.25">
      <c r="ER60" s="25" t="s">
        <v>2625</v>
      </c>
    </row>
    <row r="61" spans="146:148" x14ac:dyDescent="0.25">
      <c r="ER61" s="25" t="s">
        <v>2626</v>
      </c>
    </row>
    <row r="62" spans="146:148" x14ac:dyDescent="0.25">
      <c r="ER62" s="25" t="s">
        <v>2627</v>
      </c>
    </row>
    <row r="63" spans="146:148" x14ac:dyDescent="0.25">
      <c r="ER63" s="25" t="s">
        <v>2628</v>
      </c>
    </row>
  </sheetData>
  <mergeCells count="128">
    <mergeCell ref="R2:R3"/>
    <mergeCell ref="P4:R4"/>
    <mergeCell ref="H2:H3"/>
    <mergeCell ref="H4:N4"/>
    <mergeCell ref="I8:M8"/>
    <mergeCell ref="O6:O9"/>
    <mergeCell ref="P9:R9"/>
    <mergeCell ref="BK5:BL5"/>
    <mergeCell ref="BM5:BN5"/>
    <mergeCell ref="Y5:Z5"/>
    <mergeCell ref="W5:X5"/>
    <mergeCell ref="DH6:DI6"/>
    <mergeCell ref="AJ18:AJ19"/>
    <mergeCell ref="DC18:DC19"/>
    <mergeCell ref="CY3:CY6"/>
    <mergeCell ref="CV3:CX3"/>
    <mergeCell ref="CZ3:CZ6"/>
    <mergeCell ref="DA3:DE3"/>
    <mergeCell ref="DO6:DR6"/>
    <mergeCell ref="F7:F9"/>
    <mergeCell ref="AA7:AA10"/>
    <mergeCell ref="AD7:AD10"/>
    <mergeCell ref="AG7:AG10"/>
    <mergeCell ref="AJ7:AJ10"/>
    <mergeCell ref="AW7:AW10"/>
    <mergeCell ref="H5:I5"/>
    <mergeCell ref="AM5:AN5"/>
    <mergeCell ref="AU5:AV5"/>
    <mergeCell ref="AW5:AX5"/>
    <mergeCell ref="AZ5:BA5"/>
    <mergeCell ref="BI5:BJ5"/>
    <mergeCell ref="F10:F25"/>
    <mergeCell ref="U13:U14"/>
    <mergeCell ref="W13:AD13"/>
    <mergeCell ref="AE13:AL13"/>
    <mergeCell ref="I11:P11"/>
    <mergeCell ref="CH25:CH30"/>
    <mergeCell ref="DC26:DC27"/>
    <mergeCell ref="AF18:AF19"/>
    <mergeCell ref="DW10:DW26"/>
    <mergeCell ref="ED10:ED26"/>
    <mergeCell ref="AS17:AT17"/>
    <mergeCell ref="AU17:AV17"/>
    <mergeCell ref="AW17:AX17"/>
    <mergeCell ref="AZ17:BA17"/>
    <mergeCell ref="BR17:BS17"/>
    <mergeCell ref="BT17:BU17"/>
    <mergeCell ref="BV17:BW17"/>
    <mergeCell ref="CA17:CB17"/>
    <mergeCell ref="BB15:BF15"/>
    <mergeCell ref="BQ16:BQ17"/>
    <mergeCell ref="AS13:BC13"/>
    <mergeCell ref="BD13:BL13"/>
    <mergeCell ref="BN13:BN19"/>
    <mergeCell ref="BQ13:BQ14"/>
    <mergeCell ref="CP21:CR21"/>
    <mergeCell ref="I19:P19"/>
    <mergeCell ref="AX19:AY19"/>
    <mergeCell ref="AZ19:BA19"/>
    <mergeCell ref="CL19:CM19"/>
    <mergeCell ref="AB18:AB19"/>
    <mergeCell ref="DE11:DE26"/>
    <mergeCell ref="DL11:DL26"/>
    <mergeCell ref="CD25:CD30"/>
    <mergeCell ref="EO7:EO11"/>
    <mergeCell ref="EG10:EG26"/>
    <mergeCell ref="EH10:EH26"/>
    <mergeCell ref="EL10:EL26"/>
    <mergeCell ref="CF7:CF10"/>
    <mergeCell ref="CJ7:CJ10"/>
    <mergeCell ref="DA7:DB7"/>
    <mergeCell ref="DG7:DH7"/>
    <mergeCell ref="DP11:DP26"/>
    <mergeCell ref="DC9:DD9"/>
    <mergeCell ref="DE9:DP9"/>
    <mergeCell ref="CP7:CS7"/>
    <mergeCell ref="CS8:CS16"/>
    <mergeCell ref="CO9:CQ9"/>
    <mergeCell ref="CR9:CR17"/>
    <mergeCell ref="CP18:CR18"/>
    <mergeCell ref="AN13:AN17"/>
    <mergeCell ref="EP7:EQ7"/>
    <mergeCell ref="DT11:DT26"/>
    <mergeCell ref="EP11:EQ11"/>
    <mergeCell ref="CD13:CL13"/>
    <mergeCell ref="CN13:CN19"/>
    <mergeCell ref="BB7:BB10"/>
    <mergeCell ref="BF7:BF10"/>
    <mergeCell ref="BJ7:BJ10"/>
    <mergeCell ref="BT7:BT10"/>
    <mergeCell ref="BX7:BX10"/>
    <mergeCell ref="CB7:CB10"/>
    <mergeCell ref="DC24:DC25"/>
    <mergeCell ref="DW9:EN9"/>
    <mergeCell ref="DG16:DJ16"/>
    <mergeCell ref="DY16:EB16"/>
    <mergeCell ref="DC13:DC16"/>
    <mergeCell ref="CB15:CF15"/>
    <mergeCell ref="BS13:CC13"/>
    <mergeCell ref="CZ11:CZ13"/>
    <mergeCell ref="DO11:DO26"/>
    <mergeCell ref="DC21:DC22"/>
    <mergeCell ref="BL19:BM19"/>
    <mergeCell ref="CA19:CB19"/>
    <mergeCell ref="DT1:DU1"/>
    <mergeCell ref="B14:C14"/>
    <mergeCell ref="B6:C6"/>
    <mergeCell ref="H27:P27"/>
    <mergeCell ref="I23:P23"/>
    <mergeCell ref="BN24:BN30"/>
    <mergeCell ref="CN24:CN30"/>
    <mergeCell ref="AT25:AT26"/>
    <mergeCell ref="AW25:AW30"/>
    <mergeCell ref="BB25:BB30"/>
    <mergeCell ref="BH25:BH30"/>
    <mergeCell ref="BT25:BT26"/>
    <mergeCell ref="BX25:BX30"/>
    <mergeCell ref="AB20:AB30"/>
    <mergeCell ref="AF20:AF30"/>
    <mergeCell ref="AJ20:AJ30"/>
    <mergeCell ref="AQ21:AQ22"/>
    <mergeCell ref="BQ21:BQ22"/>
    <mergeCell ref="I15:P15"/>
    <mergeCell ref="AB15:AF15"/>
    <mergeCell ref="U16:U17"/>
    <mergeCell ref="AQ16:AQ17"/>
    <mergeCell ref="AQ13:AQ14"/>
    <mergeCell ref="R10:R11"/>
  </mergeCells>
  <pageMargins left="0.25" right="0.25" top="0.75" bottom="0.75" header="0.3" footer="0.3"/>
  <pageSetup orientation="landscape" r:id="rId1"/>
  <ignoredErrors>
    <ignoredError sqref="U5:V6 W5 Y5 AG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shButton_Click">
                <anchor moveWithCells="1" sizeWithCells="1">
                  <from>
                    <xdr:col>2</xdr:col>
                    <xdr:colOff>342900</xdr:colOff>
                    <xdr:row>0</xdr:row>
                    <xdr:rowOff>0</xdr:rowOff>
                  </from>
                  <to>
                    <xdr:col>2</xdr:col>
                    <xdr:colOff>1409700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ceiveButton_Click">
                <anchor moveWithCells="1" sizeWithCells="1">
                  <from>
                    <xdr:col>2</xdr:col>
                    <xdr:colOff>342900</xdr:colOff>
                    <xdr:row>1</xdr:row>
                    <xdr:rowOff>57150</xdr:rowOff>
                  </from>
                  <to>
                    <xdr:col>2</xdr:col>
                    <xdr:colOff>1409700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UP1Button_Click">
                <anchor moveWithCells="1" sizeWithCells="1">
                  <from>
                    <xdr:col>1</xdr:col>
                    <xdr:colOff>142875</xdr:colOff>
                    <xdr:row>0</xdr:row>
                    <xdr:rowOff>9525</xdr:rowOff>
                  </from>
                  <to>
                    <xdr:col>1</xdr:col>
                    <xdr:colOff>1209675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UP2Button_Click">
                <anchor moveWithCells="1" sizeWithCells="1">
                  <from>
                    <xdr:col>1</xdr:col>
                    <xdr:colOff>133350</xdr:colOff>
                    <xdr:row>1</xdr:row>
                    <xdr:rowOff>66675</xdr:rowOff>
                  </from>
                  <to>
                    <xdr:col>1</xdr:col>
                    <xdr:colOff>1200150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UP3Button_Click">
                <anchor moveWithCells="1" sizeWithCells="1">
                  <from>
                    <xdr:col>1</xdr:col>
                    <xdr:colOff>133350</xdr:colOff>
                    <xdr:row>2</xdr:row>
                    <xdr:rowOff>123825</xdr:rowOff>
                  </from>
                  <to>
                    <xdr:col>1</xdr:col>
                    <xdr:colOff>1200150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ailSortButton_Click">
                <anchor moveWithCells="1" sizeWithCells="1">
                  <from>
                    <xdr:col>2</xdr:col>
                    <xdr:colOff>342900</xdr:colOff>
                    <xdr:row>2</xdr:row>
                    <xdr:rowOff>114300</xdr:rowOff>
                  </from>
                  <to>
                    <xdr:col>2</xdr:col>
                    <xdr:colOff>1409700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6505A4-1FC9-435D-9F5A-E9E77FCC04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Conveyor_Information</vt:lpstr>
      <vt:lpstr>Conveyor_Map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Salas, Aaron</dc:creator>
  <cp:keywords/>
  <dc:description/>
  <cp:lastModifiedBy>Salas, Aaron</cp:lastModifiedBy>
  <cp:revision/>
  <dcterms:created xsi:type="dcterms:W3CDTF">2025-11-13T18:34:10Z</dcterms:created>
  <dcterms:modified xsi:type="dcterms:W3CDTF">2026-05-01T22:50:13Z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9e68092-05df-4271-8e3e-b2a4c82ba797_Enabled">
    <vt:lpwstr>true</vt:lpwstr>
  </property>
  <property fmtid="{D5CDD505-2E9C-101B-9397-08002B2CF9AE}" pid="3" name="MSIP_Label_19e68092-05df-4271-8e3e-b2a4c82ba797_SetDate">
    <vt:lpwstr>2025-11-13T22:15:23Z</vt:lpwstr>
  </property>
  <property fmtid="{D5CDD505-2E9C-101B-9397-08002B2CF9AE}" pid="4" name="MSIP_Label_19e68092-05df-4271-8e3e-b2a4c82ba797_Method">
    <vt:lpwstr>Standard</vt:lpwstr>
  </property>
  <property fmtid="{D5CDD505-2E9C-101B-9397-08002B2CF9AE}" pid="5" name="MSIP_Label_19e68092-05df-4271-8e3e-b2a4c82ba797_Name">
    <vt:lpwstr>Amazon Confidential</vt:lpwstr>
  </property>
  <property fmtid="{D5CDD505-2E9C-101B-9397-08002B2CF9AE}" pid="6" name="MSIP_Label_19e68092-05df-4271-8e3e-b2a4c82ba797_SiteId">
    <vt:lpwstr>5280104a-472d-4538-9ccf-1e1d0efe8b1b</vt:lpwstr>
  </property>
  <property fmtid="{D5CDD505-2E9C-101B-9397-08002B2CF9AE}" pid="7" name="MSIP_Label_19e68092-05df-4271-8e3e-b2a4c82ba797_ActionId">
    <vt:lpwstr>829adc53-5c4f-43a6-a083-7f396561d8dc</vt:lpwstr>
  </property>
  <property fmtid="{D5CDD505-2E9C-101B-9397-08002B2CF9AE}" pid="8" name="MSIP_Label_19e68092-05df-4271-8e3e-b2a4c82ba797_ContentBits">
    <vt:lpwstr>0</vt:lpwstr>
  </property>
  <property fmtid="{D5CDD505-2E9C-101B-9397-08002B2CF9AE}" pid="9" name="MSIP_Label_19e68092-05df-4271-8e3e-b2a4c82ba797_Tag">
    <vt:lpwstr>10, 3, 0, 1</vt:lpwstr>
  </property>
</Properties>
</file>